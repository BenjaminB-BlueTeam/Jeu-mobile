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Moi" sheetId="1" state="visible" r:id="rId3"/>
    <sheet name="Parametres" sheetId="2" state="visible" r:id="rId4"/>
    <sheet name="Mines" sheetId="3" state="visible" r:id="rId5"/>
    <sheet name="Batiments" sheetId="4" state="visible" r:id="rId6"/>
    <sheet name="Recherches" sheetId="5" state="visible" r:id="rId7"/>
    <sheet name="Unites" sheetId="6" state="visible" r:id="rId8"/>
    <sheet name="Defenses" sheetId="7" state="visible" r:id="rId9"/>
    <sheet name="Simulateu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<sst xmlns="http://schemas.openxmlformats.org/spreadsheetml/2006/main" count="264" uniqueCount="227">
  <si>
    <t xml:space="preserve">Iron Front — Tableur d'équilibrage économique v0.1</t>
  </si>
  <si>
    <t xml:space="preserve">Formules dérivées d'OGame (wikis owiki.de / Fandom, clones open source pr0game, 2Moons, alaingilbert/ogame),</t>
  </si>
  <si>
    <t xml:space="preserve">transposées dans l'univers Iron Front (voir design/docs/univers-du-jeu.md).</t>
  </si>
  <si>
    <t xml:space="preserve">CODE COULEUR :</t>
  </si>
  <si>
    <t xml:space="preserve">  • Texte BLEU sur fond JAUNE = paramètre modifiable (levier d'équilibrage) — tout recalcule.</t>
  </si>
  <si>
    <t xml:space="preserve">  • Texte NOIR = formule, ne pas modifier à la main.</t>
  </si>
  <si>
    <t xml:space="preserve">FEUILLES :</t>
  </si>
  <si>
    <t xml:space="preserve">  • Parametres — leviers globaux (vitesses, % épaves, pillage, taux d'échange…)</t>
  </si>
  <si>
    <t xml:space="preserve">  • Mines — production/coûts/amortissement niveaux 1-40 des 3 mines + centrale + dépôts</t>
  </si>
  <si>
    <t xml:space="preserve">  • Batiments — coûts des bâtiments de support (niveau N au choix)</t>
  </si>
  <si>
    <t xml:space="preserve">  • Recherches — coûts des technologies (niveau N au choix)</t>
  </si>
  <si>
    <t xml:space="preserve">  • Unites — stats et coûts des 14 unités + valeur d'épaves + points d'expédition</t>
  </si>
  <si>
    <t xml:space="preserve">  • Defenses — stats et coûts des défenses + missiles</t>
  </si>
  <si>
    <t xml:space="preserve">  • Simulateur — temps de vol, carburant, rentabilité de raid, temps de construction</t>
  </si>
  <si>
    <t xml:space="preserve">CONVENTIONS :</t>
  </si>
  <si>
    <t xml:space="preserve">  • 'Équivalent acier' = valeur convertie au taux d'échange (Parametres) : acier 1 / composants 1,5 / carburant 3.</t>
  </si>
  <si>
    <t xml:space="preserve">  • Amortissement (jours) = coût du niveau en éq. acier ÷ gain de production en éq. acier ÷ 24.</t>
  </si>
  <si>
    <t xml:space="preserve">  • La production de base gratuite n'apparaît pas dans les tables par niveau.</t>
  </si>
  <si>
    <t xml:space="preserve">  • Rapid fire : valeurs OGame v7 indicatives, à ajuster en playtest.</t>
  </si>
  <si>
    <t xml:space="preserve">Paramètres globaux (leviers d'équilibrage)</t>
  </si>
  <si>
    <t xml:space="preserve">Paramètre</t>
  </si>
  <si>
    <t xml:space="preserve">Valeur</t>
  </si>
  <si>
    <t xml:space="preserve">Note</t>
  </si>
  <si>
    <t xml:space="preserve">Vitesse économie (×)</t>
  </si>
  <si>
    <t xml:space="preserve">OGame classique = 1 ; mobile moderne = 4-8</t>
  </si>
  <si>
    <t xml:space="preserve">Vitesse des convois (×)</t>
  </si>
  <si>
    <t xml:space="preserve">Multiplie les vitesses, divise les temps de vol</t>
  </si>
  <si>
    <t xml:space="preserve">Vitesse recherche (×)</t>
  </si>
  <si>
    <t xml:space="preserve">% épaves (véhicules détruits → champ d'épaves)</t>
  </si>
  <si>
    <t xml:space="preserve">OGame : 30 %</t>
  </si>
  <si>
    <t xml:space="preserve">Pillage joueurs actifs</t>
  </si>
  <si>
    <t xml:space="preserve">50 % des ressources posées</t>
  </si>
  <si>
    <t xml:space="preserve">Pillage inactifs</t>
  </si>
  <si>
    <t xml:space="preserve">Décision actée : 75 % pour tous</t>
  </si>
  <si>
    <t xml:space="preserve">Valeur d'échange : Acier</t>
  </si>
  <si>
    <t xml:space="preserve">Ratio 3:2:1</t>
  </si>
  <si>
    <t xml:space="preserve">Valeur d'échange : Composants</t>
  </si>
  <si>
    <t xml:space="preserve">Valeur d'échange : Carburant</t>
  </si>
  <si>
    <t xml:space="preserve">Facteur biome raffinerie (défaut)</t>
  </si>
  <si>
    <t xml:space="preserve">Toundra ≈ 1,36 ; plaines ≈ 1,2 ; désert ≈ 1,05</t>
  </si>
  <si>
    <t xml:space="preserve">Prod. de base gratuite Acier (/h, ×vitesse)</t>
  </si>
  <si>
    <t xml:space="preserve">Prod. de base gratuite Composants (/h, ×vitesse)</t>
  </si>
  <si>
    <t xml:space="preserve">Énergie par Générateur d'appoint</t>
  </si>
  <si>
    <t xml:space="preserve">OGame : (Tmax+140)/6, moyenne ≈ 33</t>
  </si>
  <si>
    <t xml:space="preserve">Fret du Drone de reconnaissance</t>
  </si>
  <si>
    <t xml:space="preserve">Décision actée</t>
  </si>
  <si>
    <t xml:space="preserve">Limite de bash (attaques/base/24 h)</t>
  </si>
  <si>
    <t xml:space="preserve">Épaves pour 1 % de chance de bunker</t>
  </si>
  <si>
    <t xml:space="preserve">Chance max de bunker</t>
  </si>
  <si>
    <t xml:space="preserve">Atteinte à 2 M d'épaves</t>
  </si>
  <si>
    <t xml:space="preserve">Diviseur temps de construction bâtiments</t>
  </si>
  <si>
    <t xml:space="preserve">t(h)=(S+C)/(div×(1+Génie)×vitesse×2^Chantier)</t>
  </si>
  <si>
    <t xml:space="preserve">Diviseur temps de recherche</t>
  </si>
  <si>
    <t xml:space="preserve">t(h)=(S+C)/(div×(1+Labo))/vitesse recherche</t>
  </si>
  <si>
    <t xml:space="preserve">Mines &amp; énergie — niveaux 1 à 40</t>
  </si>
  <si>
    <t xml:space="preserve">Prod/h = coef × L × 1,1^L × vitesse éco (raffinerie : × facteur biome). Coût niv L = base × facteur^(L-1). Amort. = coût éq.acier ÷ Δprod éq.acier ÷ 24.</t>
  </si>
  <si>
    <t xml:space="preserve">MINE D'ACIER (Steel Mine)</t>
  </si>
  <si>
    <t xml:space="preserve">ATELIER DE COMPOSANTS (Component W.)</t>
  </si>
  <si>
    <t xml:space="preserve">RAFFINERIE DE CARBURANT (Fuel Ref.)</t>
  </si>
  <si>
    <t xml:space="preserve">CENTRALE ÉLECTRIQUE (Power Plant)</t>
  </si>
  <si>
    <t xml:space="preserve">DÉPÔT DE STOCKAGE (acier — comp. : coût ×1,5)</t>
  </si>
  <si>
    <t xml:space="preserve">Niveau</t>
  </si>
  <si>
    <t xml:space="preserve">Prod/h</t>
  </si>
  <si>
    <t xml:space="preserve">ΔProd/h</t>
  </si>
  <si>
    <t xml:space="preserve">Énergie</t>
  </si>
  <si>
    <t xml:space="preserve">Coût Acier</t>
  </si>
  <si>
    <t xml:space="preserve">Coût Comp.</t>
  </si>
  <si>
    <t xml:space="preserve">Amort. (j)</t>
  </si>
  <si>
    <t xml:space="preserve">Capacité</t>
  </si>
  <si>
    <t xml:space="preserve">Bâtiments de support — coût au niveau N</t>
  </si>
  <si>
    <t xml:space="preserve">Niveau N à afficher :</t>
  </si>
  <si>
    <t xml:space="preserve">Bâtiment (FR / EN)</t>
  </si>
  <si>
    <t xml:space="preserve">Base Acier</t>
  </si>
  <si>
    <t xml:space="preserve">Base Comp.</t>
  </si>
  <si>
    <t xml:space="preserve">Base Carb.</t>
  </si>
  <si>
    <t xml:space="preserve">Facteur</t>
  </si>
  <si>
    <t xml:space="preserve">Coût Acier (N)</t>
  </si>
  <si>
    <t xml:space="preserve">Coût Comp. (N)</t>
  </si>
  <si>
    <t xml:space="preserve">Coût Carb. (N)</t>
  </si>
  <si>
    <t xml:space="preserve">Éq. acier (N)</t>
  </si>
  <si>
    <t xml:space="preserve">Corps du génie / Engineering Corps</t>
  </si>
  <si>
    <t xml:space="preserve">Chantier automatisé / Automated Yard</t>
  </si>
  <si>
    <t xml:space="preserve">Usine de véhicules / Vehicle Factory</t>
  </si>
  <si>
    <t xml:space="preserve">Centre de recherche / Research Center</t>
  </si>
  <si>
    <t xml:space="preserve">Silo de missiles / Missile Silo</t>
  </si>
  <si>
    <t xml:space="preserve">Terrassement / Land Clearing</t>
  </si>
  <si>
    <t xml:space="preserve">Poste logistique allié / Allied Logistics</t>
  </si>
  <si>
    <t xml:space="preserve">Réacteur avancé / Advanced Reactor</t>
  </si>
  <si>
    <t xml:space="preserve">Bunker : Base souterraine / Lunar Base</t>
  </si>
  <si>
    <t xml:space="preserve">Bunker : Station radar / Long-Range Radar</t>
  </si>
  <si>
    <t xml:space="preserve">Bunker : Gare souterraine / Underground Rwy</t>
  </si>
  <si>
    <t xml:space="preserve">Coûts de base = valeurs OGame (métal→acier, cristal→composants, deutérium→carburant). Bleu = modifiable.</t>
  </si>
  <si>
    <t xml:space="preserve">Technologies — coût au niveau N</t>
  </si>
  <si>
    <t xml:space="preserve">Technologie (FR / EN)</t>
  </si>
  <si>
    <t xml:space="preserve">Renseignement / Signals Intelligence</t>
  </si>
  <si>
    <t xml:space="preserve">Réseau de commandement / Command Network</t>
  </si>
  <si>
    <t xml:space="preserve">Balistique / Ballistics</t>
  </si>
  <si>
    <t xml:space="preserve">Systèmes défensifs / Defensive Systems</t>
  </si>
  <si>
    <t xml:space="preserve">Blindage / Armor Plating</t>
  </si>
  <si>
    <t xml:space="preserve">Technologie énergétique / Energy Tech</t>
  </si>
  <si>
    <t xml:space="preserve">Moteurs diesel / Diesel Engines</t>
  </si>
  <si>
    <t xml:space="preserve">Turbines / Turbine Engines</t>
  </si>
  <si>
    <t xml:space="preserve">Sustentation magnétique / Maglev</t>
  </si>
  <si>
    <t xml:space="preserve">Logistique avancée / Advanced Logistics</t>
  </si>
  <si>
    <t xml:space="preserve">Optiques de visée / Targeting Optics</t>
  </si>
  <si>
    <t xml:space="preserve">Technologie EMP / EMP Tech</t>
  </si>
  <si>
    <t xml:space="preserve">Artillerie lourde / Heavy Ordnance</t>
  </si>
  <si>
    <t xml:space="preserve">Cartographie / Cartography</t>
  </si>
  <si>
    <t xml:space="preserve">Coalition scientifique / Research Coalition</t>
  </si>
  <si>
    <t xml:space="preserve">Mégastructures (Graviton) : requiert 300 000 d'énergie instantanée (ferme à générateurs), pas de coût ressources. Débloque le Béhémoth.</t>
  </si>
  <si>
    <t xml:space="preserve">Unités — coûts, stats, épaves, expéditions</t>
  </si>
  <si>
    <t xml:space="preserve">Unité (FR)</t>
  </si>
  <si>
    <t xml:space="preserve">EN</t>
  </si>
  <si>
    <t xml:space="preserve">Acier</t>
  </si>
  <si>
    <t xml:space="preserve">Comp.</t>
  </si>
  <si>
    <t xml:space="preserve">Carb.</t>
  </si>
  <si>
    <t xml:space="preserve">Éq. acier</t>
  </si>
  <si>
    <t xml:space="preserve">Structure</t>
  </si>
  <si>
    <t xml:space="preserve">Bouclier</t>
  </si>
  <si>
    <t xml:space="preserve">Arme</t>
  </si>
  <si>
    <t xml:space="preserve">Vitesse</t>
  </si>
  <si>
    <t xml:space="preserve">Fret</t>
  </si>
  <si>
    <t xml:space="preserve">Conso</t>
  </si>
  <si>
    <t xml:space="preserve">Pts expé</t>
  </si>
  <si>
    <t xml:space="preserve">Épaves (éq.acier)</t>
  </si>
  <si>
    <t xml:space="preserve">Camion de ravitaillement</t>
  </si>
  <si>
    <t xml:space="preserve">Supply Truck</t>
  </si>
  <si>
    <t xml:space="preserve">Convoi lourd</t>
  </si>
  <si>
    <t xml:space="preserve">Heavy Convoy</t>
  </si>
  <si>
    <t xml:space="preserve">Buggy de reconnaissance</t>
  </si>
  <si>
    <t xml:space="preserve">Recon Buggy</t>
  </si>
  <si>
    <t xml:space="preserve">Char léger</t>
  </si>
  <si>
    <t xml:space="preserve">Light Tank</t>
  </si>
  <si>
    <t xml:space="preserve">Char de combat</t>
  </si>
  <si>
    <t xml:space="preserve">Battle Tank</t>
  </si>
  <si>
    <t xml:space="preserve">Char lourd</t>
  </si>
  <si>
    <t xml:space="preserve">Heavy Tank</t>
  </si>
  <si>
    <t xml:space="preserve">Artillerie à roquettes</t>
  </si>
  <si>
    <t xml:space="preserve">Rocket Artillery</t>
  </si>
  <si>
    <t xml:space="preserve">Obusier de siège</t>
  </si>
  <si>
    <t xml:space="preserve">Siege Howitzer</t>
  </si>
  <si>
    <t xml:space="preserve">Hélicoptère de combat</t>
  </si>
  <si>
    <t xml:space="preserve">Gunship</t>
  </si>
  <si>
    <t xml:space="preserve">Forteresse « Béhémoth »</t>
  </si>
  <si>
    <t xml:space="preserve">Behemoth</t>
  </si>
  <si>
    <t xml:space="preserve">Dépanneuse</t>
  </si>
  <si>
    <t xml:space="preserve">Salvage Rig</t>
  </si>
  <si>
    <t xml:space="preserve">Drone de reconnaissance</t>
  </si>
  <si>
    <t xml:space="preserve">Scout Drone</t>
  </si>
  <si>
    <t xml:space="preserve">Convoi pionnier</t>
  </si>
  <si>
    <t xml:space="preserve">Pioneer Convoy</t>
  </si>
  <si>
    <t xml:space="preserve">Escouade de rangers</t>
  </si>
  <si>
    <t xml:space="preserve">Ranger Squad</t>
  </si>
  <si>
    <t xml:space="preserve">Stats = OGame transposé (structure = acier+comp. ; le carburant ne génère pas d'épaves). Fret du drone lié à Parametres. Vitesses avant bonus de moteurs.</t>
  </si>
  <si>
    <t xml:space="preserve">RAPID FIRE — valeurs OGame v7 indicatives, bleu = modifiable</t>
  </si>
  <si>
    <t xml:space="preserve">Attaquant → Cible</t>
  </si>
  <si>
    <t xml:space="preserve">RF</t>
  </si>
  <si>
    <t xml:space="preserve">Char de combat → Buggy</t>
  </si>
  <si>
    <t xml:space="preserve">Char de combat → Nid de mitrailleuses</t>
  </si>
  <si>
    <t xml:space="preserve">Artillerie roquettes → Camion / Convoi lourd</t>
  </si>
  <si>
    <t xml:space="preserve">Artillerie roquettes → Char léger</t>
  </si>
  <si>
    <t xml:space="preserve">Artillerie roquettes → Char de combat</t>
  </si>
  <si>
    <t xml:space="preserve">Artillerie roquettes → Char lourd</t>
  </si>
  <si>
    <t xml:space="preserve">Obusier → Nid de mitrailleuses</t>
  </si>
  <si>
    <t xml:space="preserve">Obusier → Canon AA</t>
  </si>
  <si>
    <t xml:space="preserve">Obusier → Batterie AA lourde</t>
  </si>
  <si>
    <t xml:space="preserve">Hélico → Canon AA</t>
  </si>
  <si>
    <t xml:space="preserve">Hélico → Artillerie roquettes</t>
  </si>
  <si>
    <t xml:space="preserve">Toutes → Drone / Générateur</t>
  </si>
  <si>
    <t xml:space="preserve">Béhémoth → presque tout</t>
  </si>
  <si>
    <t xml:space="preserve">Défenses &amp; missiles</t>
  </si>
  <si>
    <t xml:space="preserve">Défense (FR)</t>
  </si>
  <si>
    <t xml:space="preserve">Nid de mitrailleuses</t>
  </si>
  <si>
    <t xml:space="preserve">MG Nest</t>
  </si>
  <si>
    <t xml:space="preserve">Canon anti-aérien</t>
  </si>
  <si>
    <t xml:space="preserve">AA Gun</t>
  </si>
  <si>
    <t xml:space="preserve">Batterie AA lourde</t>
  </si>
  <si>
    <t xml:space="preserve">Heavy AA Battery</t>
  </si>
  <si>
    <t xml:space="preserve">Tour EMP</t>
  </si>
  <si>
    <t xml:space="preserve">EMP Tower</t>
  </si>
  <si>
    <t xml:space="preserve">Casemate à canon électrique</t>
  </si>
  <si>
    <t xml:space="preserve">Railgun Emplacement</t>
  </si>
  <si>
    <t xml:space="preserve">Canon lourd « Bastion »</t>
  </si>
  <si>
    <t xml:space="preserve">Heavy Cannon Bastion</t>
  </si>
  <si>
    <t xml:space="preserve">Générateur de bouclier</t>
  </si>
  <si>
    <t xml:space="preserve">Shield Generator</t>
  </si>
  <si>
    <t xml:space="preserve">Bouclier de forteresse</t>
  </si>
  <si>
    <t xml:space="preserve">Fortress Shield</t>
  </si>
  <si>
    <t xml:space="preserve">Missile intercepteur</t>
  </si>
  <si>
    <t xml:space="preserve">Interceptor Missile</t>
  </si>
  <si>
    <t xml:space="preserve">Missile balistique</t>
  </si>
  <si>
    <t xml:space="preserve">Ballistic Missile</t>
  </si>
  <si>
    <t xml:space="preserve">Règles : ~70 % de reconstruction après combat (85 % avec Ingénieur) ; 0 % si détruit par missile balistique.</t>
  </si>
  <si>
    <t xml:space="preserve">La défense ne génère pas d'épaves (paramètre serveur). 1 seule coupole de chaque par base. Le missile balistique ignore les boucliers.</t>
  </si>
  <si>
    <t xml:space="preserve">Garde-fou drones : toute défense/unité posée détruit les drones en attaque — le Canon AA est accessible tôt.</t>
  </si>
  <si>
    <t xml:space="preserve">Simulateurs (temps de vol, raid, construction)</t>
  </si>
  <si>
    <t xml:space="preserve">1. TEMPS DE VOL &amp; CARBURANT</t>
  </si>
  <si>
    <t xml:space="preserve">Écart de zones (même secteur)</t>
  </si>
  <si>
    <t xml:space="preserve">Écart de secteurs (0 si même secteur)</t>
  </si>
  <si>
    <t xml:space="preserve">Vitesse de l'unité la plus lente</t>
  </si>
  <si>
    <t xml:space="preserve">% de vitesse choisi (10-100)</t>
  </si>
  <si>
    <t xml:space="preserve">Nb de véhicules</t>
  </si>
  <si>
    <t xml:space="preserve">Conso de base / véhicule</t>
  </si>
  <si>
    <t xml:space="preserve">Distance (formule OGame)</t>
  </si>
  <si>
    <t xml:space="preserve">Temps de vol aller (min)</t>
  </si>
  <si>
    <t xml:space="preserve">Carburant aller-retour</t>
  </si>
  <si>
    <t xml:space="preserve">2. RENTABILITÉ D'UN RAID</t>
  </si>
  <si>
    <t xml:space="preserve">Acier posé chez la cible</t>
  </si>
  <si>
    <t xml:space="preserve">Composants posés</t>
  </si>
  <si>
    <t xml:space="preserve">Carburant posé</t>
  </si>
  <si>
    <t xml:space="preserve">Cible inactive ? (1=oui, 0=non)</t>
  </si>
  <si>
    <t xml:space="preserve">Taux de pillage appliqué</t>
  </si>
  <si>
    <t xml:space="preserve">Butin total (unités de ressources)</t>
  </si>
  <si>
    <t xml:space="preserve">Butin en équivalent acier</t>
  </si>
  <si>
    <t xml:space="preserve">Camions nécessaires (fret 5 000)</t>
  </si>
  <si>
    <t xml:space="preserve">Convois lourds nécessaires (fret 25 000)</t>
  </si>
  <si>
    <t xml:space="preserve">Profit net éq. acier (butin − carburant du vol)</t>
  </si>
  <si>
    <t xml:space="preserve">3. TEMPS DE CONSTRUCTION</t>
  </si>
  <si>
    <t xml:space="preserve">Coût Acier de l'objet</t>
  </si>
  <si>
    <t xml:space="preserve">Coût Composants de l'objet</t>
  </si>
  <si>
    <t xml:space="preserve">Niveau Corps du génie</t>
  </si>
  <si>
    <t xml:space="preserve">Niveau Chantier automatisé</t>
  </si>
  <si>
    <t xml:space="preserve">Niveau Usine de véhicules (unités)</t>
  </si>
  <si>
    <t xml:space="preserve">Niveau Centre de recherche (technos)</t>
  </si>
  <si>
    <t xml:space="preserve">Temps bâtiment (h)</t>
  </si>
  <si>
    <t xml:space="preserve">Temps unité (h)</t>
  </si>
  <si>
    <t xml:space="preserve">Temps recherche (h)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</si>
</sst>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#,##0.0"/>
    <numFmt numFmtId="168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5568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4A55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</row>
    <row r="4" customFormat="false" ht="15" hidden="false" customHeight="false" outlineLevel="0" collapsed="false">
      <c r="A4" s="2" t="s">
        <v>23</v>
      </c>
      <c r="B4" s="5" t="n">
        <v>4</v>
      </c>
      <c r="C4" s="3" t="s">
        <v>24</v>
      </c>
    </row>
    <row r="5" customFormat="false" ht="15" hidden="false" customHeight="false" outlineLevel="0" collapsed="false">
      <c r="A5" s="2" t="s">
        <v>25</v>
      </c>
      <c r="B5" s="5" t="n">
        <v>2</v>
      </c>
      <c r="C5" s="3" t="s">
        <v>26</v>
      </c>
    </row>
    <row r="6" customFormat="false" ht="15" hidden="false" customHeight="false" outlineLevel="0" collapsed="false">
      <c r="A6" s="2" t="s">
        <v>27</v>
      </c>
      <c r="B6" s="5" t="n">
        <v>4</v>
      </c>
      <c r="C6" s="3"/>
    </row>
    <row r="7" customFormat="false" ht="15" hidden="false" customHeight="false" outlineLevel="0" collapsed="false">
      <c r="A7" s="2" t="s">
        <v>28</v>
      </c>
      <c r="B7" s="6" t="n">
        <v>0.3</v>
      </c>
      <c r="C7" s="3" t="s">
        <v>29</v>
      </c>
    </row>
    <row r="8" customFormat="false" ht="15" hidden="false" customHeight="false" outlineLevel="0" collapsed="false">
      <c r="A8" s="2" t="s">
        <v>30</v>
      </c>
      <c r="B8" s="6" t="n">
        <v>0.5</v>
      </c>
      <c r="C8" s="3" t="s">
        <v>31</v>
      </c>
    </row>
    <row r="9" customFormat="false" ht="15" hidden="false" customHeight="false" outlineLevel="0" collapsed="false">
      <c r="A9" s="2" t="s">
        <v>32</v>
      </c>
      <c r="B9" s="6" t="n">
        <v>0.75</v>
      </c>
      <c r="C9" s="3" t="s">
        <v>33</v>
      </c>
    </row>
    <row r="10" customFormat="false" ht="15" hidden="false" customHeight="false" outlineLevel="0" collapsed="false">
      <c r="A10" s="2" t="s">
        <v>34</v>
      </c>
      <c r="B10" s="5" t="n">
        <v>1</v>
      </c>
      <c r="C10" s="3" t="s">
        <v>35</v>
      </c>
    </row>
    <row r="11" customFormat="false" ht="15" hidden="false" customHeight="false" outlineLevel="0" collapsed="false">
      <c r="A11" s="2" t="s">
        <v>36</v>
      </c>
      <c r="B11" s="5" t="n">
        <v>1.5</v>
      </c>
      <c r="C11" s="3"/>
    </row>
    <row r="12" customFormat="false" ht="15" hidden="false" customHeight="false" outlineLevel="0" collapsed="false">
      <c r="A12" s="2" t="s">
        <v>37</v>
      </c>
      <c r="B12" s="5" t="n">
        <v>3</v>
      </c>
      <c r="C12" s="3"/>
    </row>
    <row r="13" customFormat="false" ht="15" hidden="false" customHeight="false" outlineLevel="0" collapsed="false">
      <c r="A13" s="2" t="s">
        <v>38</v>
      </c>
      <c r="B13" s="5" t="n">
        <v>1.2</v>
      </c>
      <c r="C13" s="3" t="s">
        <v>39</v>
      </c>
    </row>
    <row r="14" customFormat="false" ht="15" hidden="false" customHeight="false" outlineLevel="0" collapsed="false">
      <c r="A14" s="2" t="s">
        <v>40</v>
      </c>
      <c r="B14" s="5" t="n">
        <v>30</v>
      </c>
      <c r="C14" s="3"/>
    </row>
    <row r="15" customFormat="false" ht="15" hidden="false" customHeight="false" outlineLevel="0" collapsed="false">
      <c r="A15" s="2" t="s">
        <v>41</v>
      </c>
      <c r="B15" s="5" t="n">
        <v>15</v>
      </c>
      <c r="C15" s="3"/>
    </row>
    <row r="16" customFormat="false" ht="15" hidden="false" customHeight="false" outlineLevel="0" collapsed="false">
      <c r="A16" s="2" t="s">
        <v>42</v>
      </c>
      <c r="B16" s="5" t="n">
        <v>33</v>
      </c>
      <c r="C16" s="3" t="s">
        <v>43</v>
      </c>
    </row>
    <row r="17" customFormat="false" ht="15" hidden="false" customHeight="false" outlineLevel="0" collapsed="false">
      <c r="A17" s="2" t="s">
        <v>44</v>
      </c>
      <c r="B17" s="5" t="n">
        <v>10</v>
      </c>
      <c r="C17" s="3" t="s">
        <v>45</v>
      </c>
    </row>
    <row r="18" customFormat="false" ht="15" hidden="false" customHeight="false" outlineLevel="0" collapsed="false">
      <c r="A18" s="2" t="s">
        <v>46</v>
      </c>
      <c r="B18" s="5" t="n">
        <v>6</v>
      </c>
      <c r="C18" s="3"/>
    </row>
    <row r="19" customFormat="false" ht="15" hidden="false" customHeight="false" outlineLevel="0" collapsed="false">
      <c r="A19" s="2" t="s">
        <v>47</v>
      </c>
      <c r="B19" s="5" t="n">
        <v>100000</v>
      </c>
      <c r="C19" s="3"/>
    </row>
    <row r="20" customFormat="false" ht="15" hidden="false" customHeight="false" outlineLevel="0" collapsed="false">
      <c r="A20" s="2" t="s">
        <v>48</v>
      </c>
      <c r="B20" s="6" t="n">
        <v>0.2</v>
      </c>
      <c r="C20" s="3" t="s">
        <v>49</v>
      </c>
    </row>
    <row r="21" customFormat="false" ht="15" hidden="false" customHeight="false" outlineLevel="0" collapsed="false">
      <c r="A21" s="2" t="s">
        <v>50</v>
      </c>
      <c r="B21" s="5" t="n">
        <v>2500</v>
      </c>
      <c r="C21" s="3" t="s">
        <v>51</v>
      </c>
    </row>
    <row r="22" customFormat="false" ht="15" hidden="false" customHeight="false" outlineLevel="0" collapsed="false">
      <c r="A22" s="2" t="s">
        <v>52</v>
      </c>
      <c r="B22" s="5" t="n">
        <v>1000</v>
      </c>
      <c r="C22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1"/>
    <col collapsed="false" customWidth="true" hidden="false" outlineLevel="0" max="15" min="9" style="0" width="11"/>
    <col collapsed="false" customWidth="true" hidden="false" outlineLevel="0" max="23" min="17" style="0" width="11"/>
    <col collapsed="false" customWidth="true" hidden="false" outlineLevel="0" max="33" min="25" style="0" width="12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3" t="s">
        <v>55</v>
      </c>
    </row>
    <row r="3" customFormat="false" ht="15" hidden="false" customHeight="false" outlineLevel="0" collapsed="false">
      <c r="A3" s="4" t="s">
        <v>56</v>
      </c>
      <c r="I3" s="4" t="s">
        <v>57</v>
      </c>
      <c r="Q3" s="4" t="s">
        <v>58</v>
      </c>
      <c r="Y3" s="4" t="s">
        <v>59</v>
      </c>
      <c r="AD3" s="4" t="s">
        <v>60</v>
      </c>
    </row>
    <row r="4" customFormat="false" ht="15" hidden="false" customHeight="false" outlineLevel="0" collapsed="false">
      <c r="A4" s="7" t="s">
        <v>61</v>
      </c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  <c r="G4" s="7" t="s">
        <v>67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Q4" s="7" t="s">
        <v>61</v>
      </c>
      <c r="R4" s="7" t="s">
        <v>62</v>
      </c>
      <c r="S4" s="7" t="s">
        <v>63</v>
      </c>
      <c r="T4" s="7" t="s">
        <v>64</v>
      </c>
      <c r="U4" s="7" t="s">
        <v>65</v>
      </c>
      <c r="V4" s="7" t="s">
        <v>66</v>
      </c>
      <c r="W4" s="7" t="s">
        <v>67</v>
      </c>
      <c r="Y4" s="7" t="s">
        <v>61</v>
      </c>
      <c r="Z4" s="7" t="s">
        <v>64</v>
      </c>
      <c r="AA4" s="7" t="s">
        <v>65</v>
      </c>
      <c r="AB4" s="7" t="s">
        <v>66</v>
      </c>
      <c r="AD4" s="7" t="s">
        <v>61</v>
      </c>
      <c r="AE4" s="7" t="s">
        <v>68</v>
      </c>
      <c r="AF4" s="7" t="s">
        <v>65</v>
      </c>
    </row>
    <row r="5" customFormat="false" ht="15" hidden="false" customHeight="false" outlineLevel="0" collapsed="false">
      <c r="A5" s="8" t="n">
        <v>1</v>
      </c>
      <c r="B5" s="9" t="n">
        <f aca="false">ROUND(30*A5*POWER(1.1,A5)*Parametres!$B$4,0)</f>
        <v>132</v>
      </c>
      <c r="C5" s="9" t="n">
        <f aca="false">B5-ROUND(30*(A5-1)*POWER(1.1,A5-1)*Parametres!$B$4,0)</f>
        <v>132</v>
      </c>
      <c r="D5" s="9" t="n">
        <f aca="false">ROUND(10*A5*POWER(1.1,A5),0)</f>
        <v>11</v>
      </c>
      <c r="E5" s="9" t="n">
        <f aca="false">ROUND(60*POWER(1.5,A5-1),0)</f>
        <v>60</v>
      </c>
      <c r="F5" s="9" t="n">
        <f aca="false">ROUND(15*POWER(1.5,A5-1),0)</f>
        <v>15</v>
      </c>
      <c r="G5" s="10" t="n">
        <f aca="false">(E5*Parametres!$B$10+F5*Parametres!$B$11)/(C5*Parametres!$B$10)/24</f>
        <v>0.0260416666666667</v>
      </c>
      <c r="I5" s="8" t="n">
        <v>1</v>
      </c>
      <c r="J5" s="9" t="n">
        <f aca="false">ROUND(20*I5*POWER(1.1,I5)*Parametres!$B$4,0)</f>
        <v>88</v>
      </c>
      <c r="K5" s="9" t="n">
        <f aca="false">J5-ROUND(20*(I5-1)*POWER(1.1,I5-1)*Parametres!$B$4,0)</f>
        <v>88</v>
      </c>
      <c r="L5" s="9" t="n">
        <f aca="false">ROUND(10*I5*POWER(1.1,I5),0)</f>
        <v>11</v>
      </c>
      <c r="M5" s="9" t="n">
        <f aca="false">ROUND(48*POWER(1.6,I5-1),0)</f>
        <v>48</v>
      </c>
      <c r="N5" s="9" t="n">
        <f aca="false">ROUND(24*POWER(1.6,I5-1),0)</f>
        <v>24</v>
      </c>
      <c r="O5" s="10" t="n">
        <f aca="false">(M5*Parametres!$B$10+N5*Parametres!$B$11)/(K5*Parametres!$B$11)/24</f>
        <v>0.0265151515151515</v>
      </c>
      <c r="Q5" s="8" t="n">
        <v>1</v>
      </c>
      <c r="R5" s="9" t="n">
        <f aca="false">ROUND(10*Q5*POWER(1.1,Q5)*Parametres!$B$4*Parametres!$B$13,0)</f>
        <v>53</v>
      </c>
      <c r="S5" s="9" t="n">
        <f aca="false">R5-ROUND(10*(Q5-1)*POWER(1.1,Q5-1)*Parametres!$B$4*Parametres!$B$13,0)</f>
        <v>53</v>
      </c>
      <c r="T5" s="9" t="n">
        <f aca="false">ROUND(20*Q5*POWER(1.1,Q5),0)</f>
        <v>22</v>
      </c>
      <c r="U5" s="9" t="n">
        <f aca="false">ROUND(225*POWER(1.5,Q5-1),0)</f>
        <v>225</v>
      </c>
      <c r="V5" s="9" t="n">
        <f aca="false">ROUND(75*POWER(1.5,Q5-1),0)</f>
        <v>75</v>
      </c>
      <c r="W5" s="10" t="n">
        <f aca="false">(U5*Parametres!$B$10+V5*Parametres!$B$11)/(S5*Parametres!$B$12)/24</f>
        <v>0.0884433962264151</v>
      </c>
      <c r="Y5" s="8" t="n">
        <v>1</v>
      </c>
      <c r="Z5" s="9" t="n">
        <f aca="false">ROUND(20*Y5*POWER(1.1,Y5),0)</f>
        <v>22</v>
      </c>
      <c r="AA5" s="9" t="n">
        <f aca="false">ROUND(75*POWER(1.5,Y5-1),0)</f>
        <v>75</v>
      </c>
      <c r="AB5" s="9" t="n">
        <f aca="false">ROUND(30*POWER(1.5,Y5-1),0)</f>
        <v>30</v>
      </c>
      <c r="AD5" s="8" t="n">
        <v>1</v>
      </c>
      <c r="AE5" s="9" t="n">
        <f aca="false">5000*FLOOR(2.5*EXP(20*AD5/33),1)</f>
        <v>20000</v>
      </c>
      <c r="AF5" s="9" t="n">
        <f aca="false">1000*POWER(2,AD5-1)</f>
        <v>1000</v>
      </c>
    </row>
    <row r="6" customFormat="false" ht="15" hidden="false" customHeight="false" outlineLevel="0" collapsed="false">
      <c r="A6" s="8" t="n">
        <v>2</v>
      </c>
      <c r="B6" s="9" t="n">
        <f aca="false">ROUND(30*A6*POWER(1.1,A6)*Parametres!$B$4,0)</f>
        <v>290</v>
      </c>
      <c r="C6" s="9" t="n">
        <f aca="false">B6-ROUND(30*(A6-1)*POWER(1.1,A6-1)*Parametres!$B$4,0)</f>
        <v>158</v>
      </c>
      <c r="D6" s="9" t="n">
        <f aca="false">ROUND(10*A6*POWER(1.1,A6),0)</f>
        <v>24</v>
      </c>
      <c r="E6" s="9" t="n">
        <f aca="false">ROUND(60*POWER(1.5,A6-1),0)</f>
        <v>90</v>
      </c>
      <c r="F6" s="9" t="n">
        <f aca="false">ROUND(15*POWER(1.5,A6-1),0)</f>
        <v>23</v>
      </c>
      <c r="G6" s="10" t="n">
        <f aca="false">(E6*Parametres!$B$10+F6*Parametres!$B$11)/(C6*Parametres!$B$10)/24</f>
        <v>0.0328322784810127</v>
      </c>
      <c r="I6" s="8" t="n">
        <v>2</v>
      </c>
      <c r="J6" s="9" t="n">
        <f aca="false">ROUND(20*I6*POWER(1.1,I6)*Parametres!$B$4,0)</f>
        <v>194</v>
      </c>
      <c r="K6" s="9" t="n">
        <f aca="false">J6-ROUND(20*(I6-1)*POWER(1.1,I6-1)*Parametres!$B$4,0)</f>
        <v>106</v>
      </c>
      <c r="L6" s="9" t="n">
        <f aca="false">ROUND(10*I6*POWER(1.1,I6),0)</f>
        <v>24</v>
      </c>
      <c r="M6" s="9" t="n">
        <f aca="false">ROUND(48*POWER(1.6,I6-1),0)</f>
        <v>77</v>
      </c>
      <c r="N6" s="9" t="n">
        <f aca="false">ROUND(24*POWER(1.6,I6-1),0)</f>
        <v>38</v>
      </c>
      <c r="O6" s="10" t="n">
        <f aca="false">(M6*Parametres!$B$10+N6*Parametres!$B$11)/(K6*Parametres!$B$11)/24</f>
        <v>0.0351153039832285</v>
      </c>
      <c r="Q6" s="8" t="n">
        <v>2</v>
      </c>
      <c r="R6" s="9" t="n">
        <f aca="false">ROUND(10*Q6*POWER(1.1,Q6)*Parametres!$B$4*Parametres!$B$13,0)</f>
        <v>116</v>
      </c>
      <c r="S6" s="9" t="n">
        <f aca="false">R6-ROUND(10*(Q6-1)*POWER(1.1,Q6-1)*Parametres!$B$4*Parametres!$B$13,0)</f>
        <v>63</v>
      </c>
      <c r="T6" s="9" t="n">
        <f aca="false">ROUND(20*Q6*POWER(1.1,Q6),0)</f>
        <v>48</v>
      </c>
      <c r="U6" s="9" t="n">
        <f aca="false">ROUND(225*POWER(1.5,Q6-1),0)</f>
        <v>338</v>
      </c>
      <c r="V6" s="9" t="n">
        <f aca="false">ROUND(75*POWER(1.5,Q6-1),0)</f>
        <v>113</v>
      </c>
      <c r="W6" s="10" t="n">
        <f aca="false">(U6*Parametres!$B$10+V6*Parametres!$B$11)/(S6*Parametres!$B$12)/24</f>
        <v>0.111882716049383</v>
      </c>
      <c r="Y6" s="8" t="n">
        <v>2</v>
      </c>
      <c r="Z6" s="9" t="n">
        <f aca="false">ROUND(20*Y6*POWER(1.1,Y6),0)</f>
        <v>48</v>
      </c>
      <c r="AA6" s="9" t="n">
        <f aca="false">ROUND(75*POWER(1.5,Y6-1),0)</f>
        <v>113</v>
      </c>
      <c r="AB6" s="9" t="n">
        <f aca="false">ROUND(30*POWER(1.5,Y6-1),0)</f>
        <v>45</v>
      </c>
      <c r="AD6" s="8" t="n">
        <v>2</v>
      </c>
      <c r="AE6" s="9" t="n">
        <f aca="false">5000*FLOOR(2.5*EXP(20*AD6/33),1)</f>
        <v>40000</v>
      </c>
      <c r="AF6" s="9" t="n">
        <f aca="false">1000*POWER(2,AD6-1)</f>
        <v>2000</v>
      </c>
    </row>
    <row r="7" customFormat="false" ht="15" hidden="false" customHeight="false" outlineLevel="0" collapsed="false">
      <c r="A7" s="8" t="n">
        <v>3</v>
      </c>
      <c r="B7" s="9" t="n">
        <f aca="false">ROUND(30*A7*POWER(1.1,A7)*Parametres!$B$4,0)</f>
        <v>479</v>
      </c>
      <c r="C7" s="9" t="n">
        <f aca="false">B7-ROUND(30*(A7-1)*POWER(1.1,A7-1)*Parametres!$B$4,0)</f>
        <v>189</v>
      </c>
      <c r="D7" s="9" t="n">
        <f aca="false">ROUND(10*A7*POWER(1.1,A7),0)</f>
        <v>40</v>
      </c>
      <c r="E7" s="9" t="n">
        <f aca="false">ROUND(60*POWER(1.5,A7-1),0)</f>
        <v>135</v>
      </c>
      <c r="F7" s="9" t="n">
        <f aca="false">ROUND(15*POWER(1.5,A7-1),0)</f>
        <v>34</v>
      </c>
      <c r="G7" s="10" t="n">
        <f aca="false">(E7*Parametres!$B$10+F7*Parametres!$B$11)/(C7*Parametres!$B$10)/24</f>
        <v>0.041005291005291</v>
      </c>
      <c r="I7" s="8" t="n">
        <v>3</v>
      </c>
      <c r="J7" s="9" t="n">
        <f aca="false">ROUND(20*I7*POWER(1.1,I7)*Parametres!$B$4,0)</f>
        <v>319</v>
      </c>
      <c r="K7" s="9" t="n">
        <f aca="false">J7-ROUND(20*(I7-1)*POWER(1.1,I7-1)*Parametres!$B$4,0)</f>
        <v>125</v>
      </c>
      <c r="L7" s="9" t="n">
        <f aca="false">ROUND(10*I7*POWER(1.1,I7),0)</f>
        <v>40</v>
      </c>
      <c r="M7" s="9" t="n">
        <f aca="false">ROUND(48*POWER(1.6,I7-1),0)</f>
        <v>123</v>
      </c>
      <c r="N7" s="9" t="n">
        <f aca="false">ROUND(24*POWER(1.6,I7-1),0)</f>
        <v>61</v>
      </c>
      <c r="O7" s="10" t="n">
        <f aca="false">(M7*Parametres!$B$10+N7*Parametres!$B$11)/(K7*Parametres!$B$11)/24</f>
        <v>0.0476666666666667</v>
      </c>
      <c r="Q7" s="8" t="n">
        <v>3</v>
      </c>
      <c r="R7" s="9" t="n">
        <f aca="false">ROUND(10*Q7*POWER(1.1,Q7)*Parametres!$B$4*Parametres!$B$13,0)</f>
        <v>192</v>
      </c>
      <c r="S7" s="9" t="n">
        <f aca="false">R7-ROUND(10*(Q7-1)*POWER(1.1,Q7-1)*Parametres!$B$4*Parametres!$B$13,0)</f>
        <v>76</v>
      </c>
      <c r="T7" s="9" t="n">
        <f aca="false">ROUND(20*Q7*POWER(1.1,Q7),0)</f>
        <v>80</v>
      </c>
      <c r="U7" s="9" t="n">
        <f aca="false">ROUND(225*POWER(1.5,Q7-1),0)</f>
        <v>506</v>
      </c>
      <c r="V7" s="9" t="n">
        <f aca="false">ROUND(75*POWER(1.5,Q7-1),0)</f>
        <v>169</v>
      </c>
      <c r="W7" s="10" t="n">
        <f aca="false">(U7*Parametres!$B$10+V7*Parametres!$B$11)/(S7*Parametres!$B$12)/24</f>
        <v>0.138797514619883</v>
      </c>
      <c r="Y7" s="8" t="n">
        <v>3</v>
      </c>
      <c r="Z7" s="9" t="n">
        <f aca="false">ROUND(20*Y7*POWER(1.1,Y7),0)</f>
        <v>80</v>
      </c>
      <c r="AA7" s="9" t="n">
        <f aca="false">ROUND(75*POWER(1.5,Y7-1),0)</f>
        <v>169</v>
      </c>
      <c r="AB7" s="9" t="n">
        <f aca="false">ROUND(30*POWER(1.5,Y7-1),0)</f>
        <v>68</v>
      </c>
      <c r="AD7" s="8" t="n">
        <v>3</v>
      </c>
      <c r="AE7" s="9" t="n">
        <f aca="false">5000*FLOOR(2.5*EXP(20*AD7/33),1)</f>
        <v>75000</v>
      </c>
      <c r="AF7" s="9" t="n">
        <f aca="false">1000*POWER(2,AD7-1)</f>
        <v>4000</v>
      </c>
    </row>
    <row r="8" customFormat="false" ht="15" hidden="false" customHeight="false" outlineLevel="0" collapsed="false">
      <c r="A8" s="8" t="n">
        <v>4</v>
      </c>
      <c r="B8" s="9" t="n">
        <f aca="false">ROUND(30*A8*POWER(1.1,A8)*Parametres!$B$4,0)</f>
        <v>703</v>
      </c>
      <c r="C8" s="9" t="n">
        <f aca="false">B8-ROUND(30*(A8-1)*POWER(1.1,A8-1)*Parametres!$B$4,0)</f>
        <v>224</v>
      </c>
      <c r="D8" s="9" t="n">
        <f aca="false">ROUND(10*A8*POWER(1.1,A8),0)</f>
        <v>59</v>
      </c>
      <c r="E8" s="9" t="n">
        <f aca="false">ROUND(60*POWER(1.5,A8-1),0)</f>
        <v>203</v>
      </c>
      <c r="F8" s="9" t="n">
        <f aca="false">ROUND(15*POWER(1.5,A8-1),0)</f>
        <v>51</v>
      </c>
      <c r="G8" s="10" t="n">
        <f aca="false">(E8*Parametres!$B$10+F8*Parametres!$B$11)/(C8*Parametres!$B$10)/24</f>
        <v>0.0519903273809524</v>
      </c>
      <c r="I8" s="8" t="n">
        <v>4</v>
      </c>
      <c r="J8" s="9" t="n">
        <f aca="false">ROUND(20*I8*POWER(1.1,I8)*Parametres!$B$4,0)</f>
        <v>469</v>
      </c>
      <c r="K8" s="9" t="n">
        <f aca="false">J8-ROUND(20*(I8-1)*POWER(1.1,I8-1)*Parametres!$B$4,0)</f>
        <v>150</v>
      </c>
      <c r="L8" s="9" t="n">
        <f aca="false">ROUND(10*I8*POWER(1.1,I8),0)</f>
        <v>59</v>
      </c>
      <c r="M8" s="9" t="n">
        <f aca="false">ROUND(48*POWER(1.6,I8-1),0)</f>
        <v>197</v>
      </c>
      <c r="N8" s="9" t="n">
        <f aca="false">ROUND(24*POWER(1.6,I8-1),0)</f>
        <v>98</v>
      </c>
      <c r="O8" s="10" t="n">
        <f aca="false">(M8*Parametres!$B$10+N8*Parametres!$B$11)/(K8*Parametres!$B$11)/24</f>
        <v>0.0637037037037037</v>
      </c>
      <c r="Q8" s="8" t="n">
        <v>4</v>
      </c>
      <c r="R8" s="9" t="n">
        <f aca="false">ROUND(10*Q8*POWER(1.1,Q8)*Parametres!$B$4*Parametres!$B$13,0)</f>
        <v>281</v>
      </c>
      <c r="S8" s="9" t="n">
        <f aca="false">R8-ROUND(10*(Q8-1)*POWER(1.1,Q8-1)*Parametres!$B$4*Parametres!$B$13,0)</f>
        <v>89</v>
      </c>
      <c r="T8" s="9" t="n">
        <f aca="false">ROUND(20*Q8*POWER(1.1,Q8),0)</f>
        <v>117</v>
      </c>
      <c r="U8" s="9" t="n">
        <f aca="false">ROUND(225*POWER(1.5,Q8-1),0)</f>
        <v>759</v>
      </c>
      <c r="V8" s="9" t="n">
        <f aca="false">ROUND(75*POWER(1.5,Q8-1),0)</f>
        <v>253</v>
      </c>
      <c r="W8" s="10" t="n">
        <f aca="false">(U8*Parametres!$B$10+V8*Parametres!$B$11)/(S8*Parametres!$B$12)/24</f>
        <v>0.177668539325843</v>
      </c>
      <c r="Y8" s="8" t="n">
        <v>4</v>
      </c>
      <c r="Z8" s="9" t="n">
        <f aca="false">ROUND(20*Y8*POWER(1.1,Y8),0)</f>
        <v>117</v>
      </c>
      <c r="AA8" s="9" t="n">
        <f aca="false">ROUND(75*POWER(1.5,Y8-1),0)</f>
        <v>253</v>
      </c>
      <c r="AB8" s="9" t="n">
        <f aca="false">ROUND(30*POWER(1.5,Y8-1),0)</f>
        <v>101</v>
      </c>
      <c r="AD8" s="8" t="n">
        <v>4</v>
      </c>
      <c r="AE8" s="9" t="n">
        <f aca="false">5000*FLOOR(2.5*EXP(20*AD8/33),1)</f>
        <v>140000</v>
      </c>
      <c r="AF8" s="9" t="n">
        <f aca="false">1000*POWER(2,AD8-1)</f>
        <v>8000</v>
      </c>
    </row>
    <row r="9" customFormat="false" ht="15" hidden="false" customHeight="false" outlineLevel="0" collapsed="false">
      <c r="A9" s="8" t="n">
        <v>5</v>
      </c>
      <c r="B9" s="9" t="n">
        <f aca="false">ROUND(30*A9*POWER(1.1,A9)*Parametres!$B$4,0)</f>
        <v>966</v>
      </c>
      <c r="C9" s="9" t="n">
        <f aca="false">B9-ROUND(30*(A9-1)*POWER(1.1,A9-1)*Parametres!$B$4,0)</f>
        <v>263</v>
      </c>
      <c r="D9" s="9" t="n">
        <f aca="false">ROUND(10*A9*POWER(1.1,A9),0)</f>
        <v>81</v>
      </c>
      <c r="E9" s="9" t="n">
        <f aca="false">ROUND(60*POWER(1.5,A9-1),0)</f>
        <v>304</v>
      </c>
      <c r="F9" s="9" t="n">
        <f aca="false">ROUND(15*POWER(1.5,A9-1),0)</f>
        <v>76</v>
      </c>
      <c r="G9" s="10" t="n">
        <f aca="false">(E9*Parametres!$B$10+F9*Parametres!$B$11)/(C9*Parametres!$B$10)/24</f>
        <v>0.0662230671736375</v>
      </c>
      <c r="I9" s="8" t="n">
        <v>5</v>
      </c>
      <c r="J9" s="9" t="n">
        <f aca="false">ROUND(20*I9*POWER(1.1,I9)*Parametres!$B$4,0)</f>
        <v>644</v>
      </c>
      <c r="K9" s="9" t="n">
        <f aca="false">J9-ROUND(20*(I9-1)*POWER(1.1,I9-1)*Parametres!$B$4,0)</f>
        <v>175</v>
      </c>
      <c r="L9" s="9" t="n">
        <f aca="false">ROUND(10*I9*POWER(1.1,I9),0)</f>
        <v>81</v>
      </c>
      <c r="M9" s="9" t="n">
        <f aca="false">ROUND(48*POWER(1.6,I9-1),0)</f>
        <v>315</v>
      </c>
      <c r="N9" s="9" t="n">
        <f aca="false">ROUND(24*POWER(1.6,I9-1),0)</f>
        <v>157</v>
      </c>
      <c r="O9" s="10" t="n">
        <f aca="false">(M9*Parametres!$B$10+N9*Parametres!$B$11)/(K9*Parametres!$B$11)/24</f>
        <v>0.0873809523809524</v>
      </c>
      <c r="Q9" s="8" t="n">
        <v>5</v>
      </c>
      <c r="R9" s="9" t="n">
        <f aca="false">ROUND(10*Q9*POWER(1.1,Q9)*Parametres!$B$4*Parametres!$B$13,0)</f>
        <v>387</v>
      </c>
      <c r="S9" s="9" t="n">
        <f aca="false">R9-ROUND(10*(Q9-1)*POWER(1.1,Q9-1)*Parametres!$B$4*Parametres!$B$13,0)</f>
        <v>106</v>
      </c>
      <c r="T9" s="9" t="n">
        <f aca="false">ROUND(20*Q9*POWER(1.1,Q9),0)</f>
        <v>161</v>
      </c>
      <c r="U9" s="9" t="n">
        <f aca="false">ROUND(225*POWER(1.5,Q9-1),0)</f>
        <v>1139</v>
      </c>
      <c r="V9" s="9" t="n">
        <f aca="false">ROUND(75*POWER(1.5,Q9-1),0)</f>
        <v>380</v>
      </c>
      <c r="W9" s="10" t="n">
        <f aca="false">(U9*Parametres!$B$10+V9*Parametres!$B$11)/(S9*Parametres!$B$12)/24</f>
        <v>0.223925576519916</v>
      </c>
      <c r="Y9" s="8" t="n">
        <v>5</v>
      </c>
      <c r="Z9" s="9" t="n">
        <f aca="false">ROUND(20*Y9*POWER(1.1,Y9),0)</f>
        <v>161</v>
      </c>
      <c r="AA9" s="9" t="n">
        <f aca="false">ROUND(75*POWER(1.5,Y9-1),0)</f>
        <v>380</v>
      </c>
      <c r="AB9" s="9" t="n">
        <f aca="false">ROUND(30*POWER(1.5,Y9-1),0)</f>
        <v>152</v>
      </c>
      <c r="AD9" s="8" t="n">
        <v>5</v>
      </c>
      <c r="AE9" s="9" t="n">
        <f aca="false">5000*FLOOR(2.5*EXP(20*AD9/33),1)</f>
        <v>255000</v>
      </c>
      <c r="AF9" s="9" t="n">
        <f aca="false">1000*POWER(2,AD9-1)</f>
        <v>16000</v>
      </c>
    </row>
    <row r="10" customFormat="false" ht="15" hidden="false" customHeight="false" outlineLevel="0" collapsed="false">
      <c r="A10" s="8" t="n">
        <v>6</v>
      </c>
      <c r="B10" s="9" t="n">
        <f aca="false">ROUND(30*A10*POWER(1.1,A10)*Parametres!$B$4,0)</f>
        <v>1276</v>
      </c>
      <c r="C10" s="9" t="n">
        <f aca="false">B10-ROUND(30*(A10-1)*POWER(1.1,A10-1)*Parametres!$B$4,0)</f>
        <v>310</v>
      </c>
      <c r="D10" s="9" t="n">
        <f aca="false">ROUND(10*A10*POWER(1.1,A10),0)</f>
        <v>106</v>
      </c>
      <c r="E10" s="9" t="n">
        <f aca="false">ROUND(60*POWER(1.5,A10-1),0)</f>
        <v>456</v>
      </c>
      <c r="F10" s="9" t="n">
        <f aca="false">ROUND(15*POWER(1.5,A10-1),0)</f>
        <v>114</v>
      </c>
      <c r="G10" s="10" t="n">
        <f aca="false">(E10*Parametres!$B$10+F10*Parametres!$B$11)/(C10*Parametres!$B$10)/24</f>
        <v>0.0842741935483871</v>
      </c>
      <c r="I10" s="8" t="n">
        <v>6</v>
      </c>
      <c r="J10" s="9" t="n">
        <f aca="false">ROUND(20*I10*POWER(1.1,I10)*Parametres!$B$4,0)</f>
        <v>850</v>
      </c>
      <c r="K10" s="9" t="n">
        <f aca="false">J10-ROUND(20*(I10-1)*POWER(1.1,I10-1)*Parametres!$B$4,0)</f>
        <v>206</v>
      </c>
      <c r="L10" s="9" t="n">
        <f aca="false">ROUND(10*I10*POWER(1.1,I10),0)</f>
        <v>106</v>
      </c>
      <c r="M10" s="9" t="n">
        <f aca="false">ROUND(48*POWER(1.6,I10-1),0)</f>
        <v>503</v>
      </c>
      <c r="N10" s="9" t="n">
        <f aca="false">ROUND(24*POWER(1.6,I10-1),0)</f>
        <v>252</v>
      </c>
      <c r="O10" s="10" t="n">
        <f aca="false">(M10*Parametres!$B$10+N10*Parametres!$B$11)/(K10*Parametres!$B$11)/24</f>
        <v>0.118797195253506</v>
      </c>
      <c r="Q10" s="8" t="n">
        <v>6</v>
      </c>
      <c r="R10" s="9" t="n">
        <f aca="false">ROUND(10*Q10*POWER(1.1,Q10)*Parametres!$B$4*Parametres!$B$13,0)</f>
        <v>510</v>
      </c>
      <c r="S10" s="9" t="n">
        <f aca="false">R10-ROUND(10*(Q10-1)*POWER(1.1,Q10-1)*Parametres!$B$4*Parametres!$B$13,0)</f>
        <v>123</v>
      </c>
      <c r="T10" s="9" t="n">
        <f aca="false">ROUND(20*Q10*POWER(1.1,Q10),0)</f>
        <v>213</v>
      </c>
      <c r="U10" s="9" t="n">
        <f aca="false">ROUND(225*POWER(1.5,Q10-1),0)</f>
        <v>1709</v>
      </c>
      <c r="V10" s="9" t="n">
        <f aca="false">ROUND(75*POWER(1.5,Q10-1),0)</f>
        <v>570</v>
      </c>
      <c r="W10" s="10" t="n">
        <f aca="false">(U10*Parametres!$B$10+V10*Parametres!$B$11)/(S10*Parametres!$B$12)/24</f>
        <v>0.289521228545619</v>
      </c>
      <c r="Y10" s="8" t="n">
        <v>6</v>
      </c>
      <c r="Z10" s="9" t="n">
        <f aca="false">ROUND(20*Y10*POWER(1.1,Y10),0)</f>
        <v>213</v>
      </c>
      <c r="AA10" s="9" t="n">
        <f aca="false">ROUND(75*POWER(1.5,Y10-1),0)</f>
        <v>570</v>
      </c>
      <c r="AB10" s="9" t="n">
        <f aca="false">ROUND(30*POWER(1.5,Y10-1),0)</f>
        <v>228</v>
      </c>
      <c r="AD10" s="8" t="n">
        <v>6</v>
      </c>
      <c r="AE10" s="9" t="n">
        <f aca="false">5000*FLOOR(2.5*EXP(20*AD10/33),1)</f>
        <v>470000</v>
      </c>
      <c r="AF10" s="9" t="n">
        <f aca="false">1000*POWER(2,AD10-1)</f>
        <v>32000</v>
      </c>
    </row>
    <row r="11" customFormat="false" ht="15" hidden="false" customHeight="false" outlineLevel="0" collapsed="false">
      <c r="A11" s="8" t="n">
        <v>7</v>
      </c>
      <c r="B11" s="9" t="n">
        <f aca="false">ROUND(30*A11*POWER(1.1,A11)*Parametres!$B$4,0)</f>
        <v>1637</v>
      </c>
      <c r="C11" s="9" t="n">
        <f aca="false">B11-ROUND(30*(A11-1)*POWER(1.1,A11-1)*Parametres!$B$4,0)</f>
        <v>361</v>
      </c>
      <c r="D11" s="9" t="n">
        <f aca="false">ROUND(10*A11*POWER(1.1,A11),0)</f>
        <v>136</v>
      </c>
      <c r="E11" s="9" t="n">
        <f aca="false">ROUND(60*POWER(1.5,A11-1),0)</f>
        <v>683</v>
      </c>
      <c r="F11" s="9" t="n">
        <f aca="false">ROUND(15*POWER(1.5,A11-1),0)</f>
        <v>171</v>
      </c>
      <c r="G11" s="10" t="n">
        <f aca="false">(E11*Parametres!$B$10+F11*Parametres!$B$11)/(C11*Parametres!$B$10)/24</f>
        <v>0.108437211449677</v>
      </c>
      <c r="I11" s="8" t="n">
        <v>7</v>
      </c>
      <c r="J11" s="9" t="n">
        <f aca="false">ROUND(20*I11*POWER(1.1,I11)*Parametres!$B$4,0)</f>
        <v>1091</v>
      </c>
      <c r="K11" s="9" t="n">
        <f aca="false">J11-ROUND(20*(I11-1)*POWER(1.1,I11-1)*Parametres!$B$4,0)</f>
        <v>241</v>
      </c>
      <c r="L11" s="9" t="n">
        <f aca="false">ROUND(10*I11*POWER(1.1,I11),0)</f>
        <v>136</v>
      </c>
      <c r="M11" s="9" t="n">
        <f aca="false">ROUND(48*POWER(1.6,I11-1),0)</f>
        <v>805</v>
      </c>
      <c r="N11" s="9" t="n">
        <f aca="false">ROUND(24*POWER(1.6,I11-1),0)</f>
        <v>403</v>
      </c>
      <c r="O11" s="10" t="n">
        <f aca="false">(M11*Parametres!$B$10+N11*Parametres!$B$11)/(K11*Parametres!$B$11)/24</f>
        <v>0.162459658828953</v>
      </c>
      <c r="Q11" s="8" t="n">
        <v>7</v>
      </c>
      <c r="R11" s="9" t="n">
        <f aca="false">ROUND(10*Q11*POWER(1.1,Q11)*Parametres!$B$4*Parametres!$B$13,0)</f>
        <v>655</v>
      </c>
      <c r="S11" s="9" t="n">
        <f aca="false">R11-ROUND(10*(Q11-1)*POWER(1.1,Q11-1)*Parametres!$B$4*Parametres!$B$13,0)</f>
        <v>145</v>
      </c>
      <c r="T11" s="9" t="n">
        <f aca="false">ROUND(20*Q11*POWER(1.1,Q11),0)</f>
        <v>273</v>
      </c>
      <c r="U11" s="9" t="n">
        <f aca="false">ROUND(225*POWER(1.5,Q11-1),0)</f>
        <v>2563</v>
      </c>
      <c r="V11" s="9" t="n">
        <f aca="false">ROUND(75*POWER(1.5,Q11-1),0)</f>
        <v>854</v>
      </c>
      <c r="W11" s="10" t="n">
        <f aca="false">(U11*Parametres!$B$10+V11*Parametres!$B$11)/(S11*Parametres!$B$12)/24</f>
        <v>0.368199233716475</v>
      </c>
      <c r="Y11" s="8" t="n">
        <v>7</v>
      </c>
      <c r="Z11" s="9" t="n">
        <f aca="false">ROUND(20*Y11*POWER(1.1,Y11),0)</f>
        <v>273</v>
      </c>
      <c r="AA11" s="9" t="n">
        <f aca="false">ROUND(75*POWER(1.5,Y11-1),0)</f>
        <v>854</v>
      </c>
      <c r="AB11" s="9" t="n">
        <f aca="false">ROUND(30*POWER(1.5,Y11-1),0)</f>
        <v>342</v>
      </c>
      <c r="AD11" s="8" t="n">
        <v>7</v>
      </c>
      <c r="AE11" s="9" t="n">
        <f aca="false">5000*FLOOR(2.5*EXP(20*AD11/33),1)</f>
        <v>865000</v>
      </c>
      <c r="AF11" s="9" t="n">
        <f aca="false">1000*POWER(2,AD11-1)</f>
        <v>64000</v>
      </c>
    </row>
    <row r="12" customFormat="false" ht="15" hidden="false" customHeight="false" outlineLevel="0" collapsed="false">
      <c r="A12" s="8" t="n">
        <v>8</v>
      </c>
      <c r="B12" s="9" t="n">
        <f aca="false">ROUND(30*A12*POWER(1.1,A12)*Parametres!$B$4,0)</f>
        <v>2058</v>
      </c>
      <c r="C12" s="9" t="n">
        <f aca="false">B12-ROUND(30*(A12-1)*POWER(1.1,A12-1)*Parametres!$B$4,0)</f>
        <v>421</v>
      </c>
      <c r="D12" s="9" t="n">
        <f aca="false">ROUND(10*A12*POWER(1.1,A12),0)</f>
        <v>171</v>
      </c>
      <c r="E12" s="9" t="n">
        <f aca="false">ROUND(60*POWER(1.5,A12-1),0)</f>
        <v>1025</v>
      </c>
      <c r="F12" s="9" t="n">
        <f aca="false">ROUND(15*POWER(1.5,A12-1),0)</f>
        <v>256</v>
      </c>
      <c r="G12" s="10" t="n">
        <f aca="false">(E12*Parametres!$B$10+F12*Parametres!$B$11)/(C12*Parametres!$B$10)/24</f>
        <v>0.139449722882027</v>
      </c>
      <c r="I12" s="8" t="n">
        <v>8</v>
      </c>
      <c r="J12" s="9" t="n">
        <f aca="false">ROUND(20*I12*POWER(1.1,I12)*Parametres!$B$4,0)</f>
        <v>1372</v>
      </c>
      <c r="K12" s="9" t="n">
        <f aca="false">J12-ROUND(20*(I12-1)*POWER(1.1,I12-1)*Parametres!$B$4,0)</f>
        <v>281</v>
      </c>
      <c r="L12" s="9" t="n">
        <f aca="false">ROUND(10*I12*POWER(1.1,I12),0)</f>
        <v>171</v>
      </c>
      <c r="M12" s="9" t="n">
        <f aca="false">ROUND(48*POWER(1.6,I12-1),0)</f>
        <v>1288</v>
      </c>
      <c r="N12" s="9" t="n">
        <f aca="false">ROUND(24*POWER(1.6,I12-1),0)</f>
        <v>644</v>
      </c>
      <c r="O12" s="10" t="n">
        <f aca="false">(M12*Parametres!$B$10+N12*Parametres!$B$11)/(K12*Parametres!$B$11)/24</f>
        <v>0.222815342032424</v>
      </c>
      <c r="Q12" s="8" t="n">
        <v>8</v>
      </c>
      <c r="R12" s="9" t="n">
        <f aca="false">ROUND(10*Q12*POWER(1.1,Q12)*Parametres!$B$4*Parametres!$B$13,0)</f>
        <v>823</v>
      </c>
      <c r="S12" s="9" t="n">
        <f aca="false">R12-ROUND(10*(Q12-1)*POWER(1.1,Q12-1)*Parametres!$B$4*Parametres!$B$13,0)</f>
        <v>168</v>
      </c>
      <c r="T12" s="9" t="n">
        <f aca="false">ROUND(20*Q12*POWER(1.1,Q12),0)</f>
        <v>343</v>
      </c>
      <c r="U12" s="9" t="n">
        <f aca="false">ROUND(225*POWER(1.5,Q12-1),0)</f>
        <v>3844</v>
      </c>
      <c r="V12" s="9" t="n">
        <f aca="false">ROUND(75*POWER(1.5,Q12-1),0)</f>
        <v>1281</v>
      </c>
      <c r="W12" s="10" t="n">
        <f aca="false">(U12*Parametres!$B$10+V12*Parametres!$B$11)/(S12*Parametres!$B$12)/24</f>
        <v>0.476645171957672</v>
      </c>
      <c r="Y12" s="8" t="n">
        <v>8</v>
      </c>
      <c r="Z12" s="9" t="n">
        <f aca="false">ROUND(20*Y12*POWER(1.1,Y12),0)</f>
        <v>343</v>
      </c>
      <c r="AA12" s="9" t="n">
        <f aca="false">ROUND(75*POWER(1.5,Y12-1),0)</f>
        <v>1281</v>
      </c>
      <c r="AB12" s="9" t="n">
        <f aca="false">ROUND(30*POWER(1.5,Y12-1),0)</f>
        <v>513</v>
      </c>
      <c r="AD12" s="8" t="n">
        <v>8</v>
      </c>
      <c r="AE12" s="9" t="n">
        <f aca="false">5000*FLOOR(2.5*EXP(20*AD12/33),1)</f>
        <v>1590000</v>
      </c>
      <c r="AF12" s="9" t="n">
        <f aca="false">1000*POWER(2,AD12-1)</f>
        <v>128000</v>
      </c>
    </row>
    <row r="13" customFormat="false" ht="15" hidden="false" customHeight="false" outlineLevel="0" collapsed="false">
      <c r="A13" s="8" t="n">
        <v>9</v>
      </c>
      <c r="B13" s="9" t="n">
        <f aca="false">ROUND(30*A13*POWER(1.1,A13)*Parametres!$B$4,0)</f>
        <v>2547</v>
      </c>
      <c r="C13" s="9" t="n">
        <f aca="false">B13-ROUND(30*(A13-1)*POWER(1.1,A13-1)*Parametres!$B$4,0)</f>
        <v>489</v>
      </c>
      <c r="D13" s="9" t="n">
        <f aca="false">ROUND(10*A13*POWER(1.1,A13),0)</f>
        <v>212</v>
      </c>
      <c r="E13" s="9" t="n">
        <f aca="false">ROUND(60*POWER(1.5,A13-1),0)</f>
        <v>1538</v>
      </c>
      <c r="F13" s="9" t="n">
        <f aca="false">ROUND(15*POWER(1.5,A13-1),0)</f>
        <v>384</v>
      </c>
      <c r="G13" s="10" t="n">
        <f aca="false">(E13*Parametres!$B$10+F13*Parametres!$B$11)/(C13*Parametres!$B$10)/24</f>
        <v>0.180129516019087</v>
      </c>
      <c r="I13" s="8" t="n">
        <v>9</v>
      </c>
      <c r="J13" s="9" t="n">
        <f aca="false">ROUND(20*I13*POWER(1.1,I13)*Parametres!$B$4,0)</f>
        <v>1698</v>
      </c>
      <c r="K13" s="9" t="n">
        <f aca="false">J13-ROUND(20*(I13-1)*POWER(1.1,I13-1)*Parametres!$B$4,0)</f>
        <v>326</v>
      </c>
      <c r="L13" s="9" t="n">
        <f aca="false">ROUND(10*I13*POWER(1.1,I13),0)</f>
        <v>212</v>
      </c>
      <c r="M13" s="9" t="n">
        <f aca="false">ROUND(48*POWER(1.6,I13-1),0)</f>
        <v>2062</v>
      </c>
      <c r="N13" s="9" t="n">
        <f aca="false">ROUND(24*POWER(1.6,I13-1),0)</f>
        <v>1031</v>
      </c>
      <c r="O13" s="10" t="n">
        <f aca="false">(M13*Parametres!$B$10+N13*Parametres!$B$11)/(K13*Parametres!$B$11)/24</f>
        <v>0.307472733469666</v>
      </c>
      <c r="Q13" s="8" t="n">
        <v>9</v>
      </c>
      <c r="R13" s="9" t="n">
        <f aca="false">ROUND(10*Q13*POWER(1.1,Q13)*Parametres!$B$4*Parametres!$B$13,0)</f>
        <v>1019</v>
      </c>
      <c r="S13" s="9" t="n">
        <f aca="false">R13-ROUND(10*(Q13-1)*POWER(1.1,Q13-1)*Parametres!$B$4*Parametres!$B$13,0)</f>
        <v>196</v>
      </c>
      <c r="T13" s="9" t="n">
        <f aca="false">ROUND(20*Q13*POWER(1.1,Q13),0)</f>
        <v>424</v>
      </c>
      <c r="U13" s="9" t="n">
        <f aca="false">ROUND(225*POWER(1.5,Q13-1),0)</f>
        <v>5767</v>
      </c>
      <c r="V13" s="9" t="n">
        <f aca="false">ROUND(75*POWER(1.5,Q13-1),0)</f>
        <v>1922</v>
      </c>
      <c r="W13" s="10" t="n">
        <f aca="false">(U13*Parametres!$B$10+V13*Parametres!$B$11)/(S13*Parametres!$B$12)/24</f>
        <v>0.612953514739229</v>
      </c>
      <c r="Y13" s="8" t="n">
        <v>9</v>
      </c>
      <c r="Z13" s="9" t="n">
        <f aca="false">ROUND(20*Y13*POWER(1.1,Y13),0)</f>
        <v>424</v>
      </c>
      <c r="AA13" s="9" t="n">
        <f aca="false">ROUND(75*POWER(1.5,Y13-1),0)</f>
        <v>1922</v>
      </c>
      <c r="AB13" s="9" t="n">
        <f aca="false">ROUND(30*POWER(1.5,Y13-1),0)</f>
        <v>769</v>
      </c>
      <c r="AD13" s="8" t="n">
        <v>9</v>
      </c>
      <c r="AE13" s="9" t="n">
        <f aca="false">5000*FLOOR(2.5*EXP(20*AD13/33),1)</f>
        <v>2920000</v>
      </c>
      <c r="AF13" s="9" t="n">
        <f aca="false">1000*POWER(2,AD13-1)</f>
        <v>256000</v>
      </c>
    </row>
    <row r="14" customFormat="false" ht="15" hidden="false" customHeight="false" outlineLevel="0" collapsed="false">
      <c r="A14" s="8" t="n">
        <v>10</v>
      </c>
      <c r="B14" s="9" t="n">
        <f aca="false">ROUND(30*A14*POWER(1.1,A14)*Parametres!$B$4,0)</f>
        <v>3112</v>
      </c>
      <c r="C14" s="9" t="n">
        <f aca="false">B14-ROUND(30*(A14-1)*POWER(1.1,A14-1)*Parametres!$B$4,0)</f>
        <v>565</v>
      </c>
      <c r="D14" s="9" t="n">
        <f aca="false">ROUND(10*A14*POWER(1.1,A14),0)</f>
        <v>259</v>
      </c>
      <c r="E14" s="9" t="n">
        <f aca="false">ROUND(60*POWER(1.5,A14-1),0)</f>
        <v>2307</v>
      </c>
      <c r="F14" s="9" t="n">
        <f aca="false">ROUND(15*POWER(1.5,A14-1),0)</f>
        <v>577</v>
      </c>
      <c r="G14" s="10" t="n">
        <f aca="false">(E14*Parametres!$B$10+F14*Parametres!$B$11)/(C14*Parametres!$B$10)/24</f>
        <v>0.23396017699115</v>
      </c>
      <c r="I14" s="8" t="n">
        <v>10</v>
      </c>
      <c r="J14" s="9" t="n">
        <f aca="false">ROUND(20*I14*POWER(1.1,I14)*Parametres!$B$4,0)</f>
        <v>2075</v>
      </c>
      <c r="K14" s="9" t="n">
        <f aca="false">J14-ROUND(20*(I14-1)*POWER(1.1,I14-1)*Parametres!$B$4,0)</f>
        <v>377</v>
      </c>
      <c r="L14" s="9" t="n">
        <f aca="false">ROUND(10*I14*POWER(1.1,I14),0)</f>
        <v>259</v>
      </c>
      <c r="M14" s="9" t="n">
        <f aca="false">ROUND(48*POWER(1.6,I14-1),0)</f>
        <v>3299</v>
      </c>
      <c r="N14" s="9" t="n">
        <f aca="false">ROUND(24*POWER(1.6,I14-1),0)</f>
        <v>1649</v>
      </c>
      <c r="O14" s="10" t="n">
        <f aca="false">(M14*Parametres!$B$10+N14*Parametres!$B$11)/(K14*Parametres!$B$11)/24</f>
        <v>0.425324196875921</v>
      </c>
      <c r="Q14" s="8" t="n">
        <v>10</v>
      </c>
      <c r="R14" s="9" t="n">
        <f aca="false">ROUND(10*Q14*POWER(1.1,Q14)*Parametres!$B$4*Parametres!$B$13,0)</f>
        <v>1245</v>
      </c>
      <c r="S14" s="9" t="n">
        <f aca="false">R14-ROUND(10*(Q14-1)*POWER(1.1,Q14-1)*Parametres!$B$4*Parametres!$B$13,0)</f>
        <v>226</v>
      </c>
      <c r="T14" s="9" t="n">
        <f aca="false">ROUND(20*Q14*POWER(1.1,Q14),0)</f>
        <v>519</v>
      </c>
      <c r="U14" s="9" t="n">
        <f aca="false">ROUND(225*POWER(1.5,Q14-1),0)</f>
        <v>8650</v>
      </c>
      <c r="V14" s="9" t="n">
        <f aca="false">ROUND(75*POWER(1.5,Q14-1),0)</f>
        <v>2883</v>
      </c>
      <c r="W14" s="10" t="n">
        <f aca="false">(U14*Parametres!$B$10+V14*Parametres!$B$11)/(S14*Parametres!$B$12)/24</f>
        <v>0.79735127826942</v>
      </c>
      <c r="Y14" s="8" t="n">
        <v>10</v>
      </c>
      <c r="Z14" s="9" t="n">
        <f aca="false">ROUND(20*Y14*POWER(1.1,Y14),0)</f>
        <v>519</v>
      </c>
      <c r="AA14" s="9" t="n">
        <f aca="false">ROUND(75*POWER(1.5,Y14-1),0)</f>
        <v>2883</v>
      </c>
      <c r="AB14" s="9" t="n">
        <f aca="false">ROUND(30*POWER(1.5,Y14-1),0)</f>
        <v>1153</v>
      </c>
      <c r="AD14" s="8" t="n">
        <v>10</v>
      </c>
      <c r="AE14" s="9" t="n">
        <f aca="false">5000*FLOOR(2.5*EXP(20*AD14/33),1)</f>
        <v>5355000</v>
      </c>
      <c r="AF14" s="9" t="n">
        <f aca="false">1000*POWER(2,AD14-1)</f>
        <v>512000</v>
      </c>
    </row>
    <row r="15" customFormat="false" ht="15" hidden="false" customHeight="false" outlineLevel="0" collapsed="false">
      <c r="A15" s="8" t="n">
        <v>11</v>
      </c>
      <c r="B15" s="9" t="n">
        <f aca="false">ROUND(30*A15*POWER(1.1,A15)*Parametres!$B$4,0)</f>
        <v>3766</v>
      </c>
      <c r="C15" s="9" t="n">
        <f aca="false">B15-ROUND(30*(A15-1)*POWER(1.1,A15-1)*Parametres!$B$4,0)</f>
        <v>654</v>
      </c>
      <c r="D15" s="9" t="n">
        <f aca="false">ROUND(10*A15*POWER(1.1,A15),0)</f>
        <v>314</v>
      </c>
      <c r="E15" s="9" t="n">
        <f aca="false">ROUND(60*POWER(1.5,A15-1),0)</f>
        <v>3460</v>
      </c>
      <c r="F15" s="9" t="n">
        <f aca="false">ROUND(15*POWER(1.5,A15-1),0)</f>
        <v>865</v>
      </c>
      <c r="G15" s="10" t="n">
        <f aca="false">(E15*Parametres!$B$10+F15*Parametres!$B$11)/(C15*Parametres!$B$10)/24</f>
        <v>0.303102701325178</v>
      </c>
      <c r="I15" s="8" t="n">
        <v>11</v>
      </c>
      <c r="J15" s="9" t="n">
        <f aca="false">ROUND(20*I15*POWER(1.1,I15)*Parametres!$B$4,0)</f>
        <v>2511</v>
      </c>
      <c r="K15" s="9" t="n">
        <f aca="false">J15-ROUND(20*(I15-1)*POWER(1.1,I15-1)*Parametres!$B$4,0)</f>
        <v>436</v>
      </c>
      <c r="L15" s="9" t="n">
        <f aca="false">ROUND(10*I15*POWER(1.1,I15),0)</f>
        <v>314</v>
      </c>
      <c r="M15" s="9" t="n">
        <f aca="false">ROUND(48*POWER(1.6,I15-1),0)</f>
        <v>5278</v>
      </c>
      <c r="N15" s="9" t="n">
        <f aca="false">ROUND(24*POWER(1.6,I15-1),0)</f>
        <v>2639</v>
      </c>
      <c r="O15" s="10" t="n">
        <f aca="false">(M15*Parametres!$B$10+N15*Parametres!$B$11)/(K15*Parametres!$B$11)/24</f>
        <v>0.588462028542304</v>
      </c>
      <c r="Q15" s="8" t="n">
        <v>11</v>
      </c>
      <c r="R15" s="9" t="n">
        <f aca="false">ROUND(10*Q15*POWER(1.1,Q15)*Parametres!$B$4*Parametres!$B$13,0)</f>
        <v>1506</v>
      </c>
      <c r="S15" s="9" t="n">
        <f aca="false">R15-ROUND(10*(Q15-1)*POWER(1.1,Q15-1)*Parametres!$B$4*Parametres!$B$13,0)</f>
        <v>261</v>
      </c>
      <c r="T15" s="9" t="n">
        <f aca="false">ROUND(20*Q15*POWER(1.1,Q15),0)</f>
        <v>628</v>
      </c>
      <c r="U15" s="9" t="n">
        <f aca="false">ROUND(225*POWER(1.5,Q15-1),0)</f>
        <v>12975</v>
      </c>
      <c r="V15" s="9" t="n">
        <f aca="false">ROUND(75*POWER(1.5,Q15-1),0)</f>
        <v>4325</v>
      </c>
      <c r="W15" s="10" t="n">
        <f aca="false">(U15*Parametres!$B$10+V15*Parametres!$B$11)/(S15*Parametres!$B$12)/24</f>
        <v>1.03568007662835</v>
      </c>
      <c r="Y15" s="8" t="n">
        <v>11</v>
      </c>
      <c r="Z15" s="9" t="n">
        <f aca="false">ROUND(20*Y15*POWER(1.1,Y15),0)</f>
        <v>628</v>
      </c>
      <c r="AA15" s="9" t="n">
        <f aca="false">ROUND(75*POWER(1.5,Y15-1),0)</f>
        <v>4325</v>
      </c>
      <c r="AB15" s="9" t="n">
        <f aca="false">ROUND(30*POWER(1.5,Y15-1),0)</f>
        <v>1730</v>
      </c>
      <c r="AD15" s="8" t="n">
        <v>11</v>
      </c>
      <c r="AE15" s="9" t="n">
        <f aca="false">5000*FLOOR(2.5*EXP(20*AD15/33),1)</f>
        <v>9820000</v>
      </c>
      <c r="AF15" s="9" t="n">
        <f aca="false">1000*POWER(2,AD15-1)</f>
        <v>1024000</v>
      </c>
    </row>
    <row r="16" customFormat="false" ht="15" hidden="false" customHeight="false" outlineLevel="0" collapsed="false">
      <c r="A16" s="8" t="n">
        <v>12</v>
      </c>
      <c r="B16" s="9" t="n">
        <f aca="false">ROUND(30*A16*POWER(1.1,A16)*Parametres!$B$4,0)</f>
        <v>4519</v>
      </c>
      <c r="C16" s="9" t="n">
        <f aca="false">B16-ROUND(30*(A16-1)*POWER(1.1,A16-1)*Parametres!$B$4,0)</f>
        <v>753</v>
      </c>
      <c r="D16" s="9" t="n">
        <f aca="false">ROUND(10*A16*POWER(1.1,A16),0)</f>
        <v>377</v>
      </c>
      <c r="E16" s="9" t="n">
        <f aca="false">ROUND(60*POWER(1.5,A16-1),0)</f>
        <v>5190</v>
      </c>
      <c r="F16" s="9" t="n">
        <f aca="false">ROUND(15*POWER(1.5,A16-1),0)</f>
        <v>1297</v>
      </c>
      <c r="G16" s="10" t="n">
        <f aca="false">(E16*Parametres!$B$10+F16*Parametres!$B$11)/(C16*Parametres!$B$10)/24</f>
        <v>0.394837317397078</v>
      </c>
      <c r="I16" s="8" t="n">
        <v>12</v>
      </c>
      <c r="J16" s="9" t="n">
        <f aca="false">ROUND(20*I16*POWER(1.1,I16)*Parametres!$B$4,0)</f>
        <v>3013</v>
      </c>
      <c r="K16" s="9" t="n">
        <f aca="false">J16-ROUND(20*(I16-1)*POWER(1.1,I16-1)*Parametres!$B$4,0)</f>
        <v>502</v>
      </c>
      <c r="L16" s="9" t="n">
        <f aca="false">ROUND(10*I16*POWER(1.1,I16),0)</f>
        <v>377</v>
      </c>
      <c r="M16" s="9" t="n">
        <f aca="false">ROUND(48*POWER(1.6,I16-1),0)</f>
        <v>8444</v>
      </c>
      <c r="N16" s="9" t="n">
        <f aca="false">ROUND(24*POWER(1.6,I16-1),0)</f>
        <v>4222</v>
      </c>
      <c r="O16" s="10" t="n">
        <f aca="false">(M16*Parametres!$B$10+N16*Parametres!$B$11)/(K16*Parametres!$B$11)/24</f>
        <v>0.817673749446658</v>
      </c>
      <c r="Q16" s="8" t="n">
        <v>12</v>
      </c>
      <c r="R16" s="9" t="n">
        <f aca="false">ROUND(10*Q16*POWER(1.1,Q16)*Parametres!$B$4*Parametres!$B$13,0)</f>
        <v>1808</v>
      </c>
      <c r="S16" s="9" t="n">
        <f aca="false">R16-ROUND(10*(Q16-1)*POWER(1.1,Q16-1)*Parametres!$B$4*Parametres!$B$13,0)</f>
        <v>302</v>
      </c>
      <c r="T16" s="9" t="n">
        <f aca="false">ROUND(20*Q16*POWER(1.1,Q16),0)</f>
        <v>753</v>
      </c>
      <c r="U16" s="9" t="n">
        <f aca="false">ROUND(225*POWER(1.5,Q16-1),0)</f>
        <v>19462</v>
      </c>
      <c r="V16" s="9" t="n">
        <f aca="false">ROUND(75*POWER(1.5,Q16-1),0)</f>
        <v>6487</v>
      </c>
      <c r="W16" s="10" t="n">
        <f aca="false">(U16*Parametres!$B$10+V16*Parametres!$B$11)/(S16*Parametres!$B$12)/24</f>
        <v>1.342554267844</v>
      </c>
      <c r="Y16" s="8" t="n">
        <v>12</v>
      </c>
      <c r="Z16" s="9" t="n">
        <f aca="false">ROUND(20*Y16*POWER(1.1,Y16),0)</f>
        <v>753</v>
      </c>
      <c r="AA16" s="9" t="n">
        <f aca="false">ROUND(75*POWER(1.5,Y16-1),0)</f>
        <v>6487</v>
      </c>
      <c r="AB16" s="9" t="n">
        <f aca="false">ROUND(30*POWER(1.5,Y16-1),0)</f>
        <v>2595</v>
      </c>
      <c r="AD16" s="8" t="n">
        <v>12</v>
      </c>
      <c r="AE16" s="9" t="n">
        <f aca="false">5000*FLOOR(2.5*EXP(20*AD16/33),1)</f>
        <v>18005000</v>
      </c>
      <c r="AF16" s="9" t="n">
        <f aca="false">1000*POWER(2,AD16-1)</f>
        <v>2048000</v>
      </c>
    </row>
    <row r="17" customFormat="false" ht="15" hidden="false" customHeight="false" outlineLevel="0" collapsed="false">
      <c r="A17" s="8" t="n">
        <v>13</v>
      </c>
      <c r="B17" s="9" t="n">
        <f aca="false">ROUND(30*A17*POWER(1.1,A17)*Parametres!$B$4,0)</f>
        <v>5386</v>
      </c>
      <c r="C17" s="9" t="n">
        <f aca="false">B17-ROUND(30*(A17-1)*POWER(1.1,A17-1)*Parametres!$B$4,0)</f>
        <v>867</v>
      </c>
      <c r="D17" s="9" t="n">
        <f aca="false">ROUND(10*A17*POWER(1.1,A17),0)</f>
        <v>449</v>
      </c>
      <c r="E17" s="9" t="n">
        <f aca="false">ROUND(60*POWER(1.5,A17-1),0)</f>
        <v>7785</v>
      </c>
      <c r="F17" s="9" t="n">
        <f aca="false">ROUND(15*POWER(1.5,A17-1),0)</f>
        <v>1946</v>
      </c>
      <c r="G17" s="10" t="n">
        <f aca="false">(E17*Parametres!$B$10+F17*Parametres!$B$11)/(C17*Parametres!$B$10)/24</f>
        <v>0.51441753171857</v>
      </c>
      <c r="I17" s="8" t="n">
        <v>13</v>
      </c>
      <c r="J17" s="9" t="n">
        <f aca="false">ROUND(20*I17*POWER(1.1,I17)*Parametres!$B$4,0)</f>
        <v>3590</v>
      </c>
      <c r="K17" s="9" t="n">
        <f aca="false">J17-ROUND(20*(I17-1)*POWER(1.1,I17-1)*Parametres!$B$4,0)</f>
        <v>577</v>
      </c>
      <c r="L17" s="9" t="n">
        <f aca="false">ROUND(10*I17*POWER(1.1,I17),0)</f>
        <v>449</v>
      </c>
      <c r="M17" s="9" t="n">
        <f aca="false">ROUND(48*POWER(1.6,I17-1),0)</f>
        <v>13511</v>
      </c>
      <c r="N17" s="9" t="n">
        <f aca="false">ROUND(24*POWER(1.6,I17-1),0)</f>
        <v>6755</v>
      </c>
      <c r="O17" s="10" t="n">
        <f aca="false">(M17*Parametres!$B$10+N17*Parametres!$B$11)/(K17*Parametres!$B$11)/24</f>
        <v>1.138238975544</v>
      </c>
      <c r="Q17" s="8" t="n">
        <v>13</v>
      </c>
      <c r="R17" s="9" t="n">
        <f aca="false">ROUND(10*Q17*POWER(1.1,Q17)*Parametres!$B$4*Parametres!$B$13,0)</f>
        <v>2154</v>
      </c>
      <c r="S17" s="9" t="n">
        <f aca="false">R17-ROUND(10*(Q17-1)*POWER(1.1,Q17-1)*Parametres!$B$4*Parametres!$B$13,0)</f>
        <v>346</v>
      </c>
      <c r="T17" s="9" t="n">
        <f aca="false">ROUND(20*Q17*POWER(1.1,Q17),0)</f>
        <v>898</v>
      </c>
      <c r="U17" s="9" t="n">
        <f aca="false">ROUND(225*POWER(1.5,Q17-1),0)</f>
        <v>29193</v>
      </c>
      <c r="V17" s="9" t="n">
        <f aca="false">ROUND(75*POWER(1.5,Q17-1),0)</f>
        <v>9731</v>
      </c>
      <c r="W17" s="10" t="n">
        <f aca="false">(U17*Parametres!$B$10+V17*Parametres!$B$11)/(S17*Parametres!$B$12)/24</f>
        <v>1.75776734104046</v>
      </c>
      <c r="Y17" s="8" t="n">
        <v>13</v>
      </c>
      <c r="Z17" s="9" t="n">
        <f aca="false">ROUND(20*Y17*POWER(1.1,Y17),0)</f>
        <v>898</v>
      </c>
      <c r="AA17" s="9" t="n">
        <f aca="false">ROUND(75*POWER(1.5,Y17-1),0)</f>
        <v>9731</v>
      </c>
      <c r="AB17" s="9" t="n">
        <f aca="false">ROUND(30*POWER(1.5,Y17-1),0)</f>
        <v>3892</v>
      </c>
      <c r="AD17" s="8" t="n">
        <v>13</v>
      </c>
      <c r="AE17" s="9" t="n">
        <f aca="false">5000*FLOOR(2.5*EXP(20*AD17/33),1)</f>
        <v>33005000</v>
      </c>
      <c r="AF17" s="9" t="n">
        <f aca="false">1000*POWER(2,AD17-1)</f>
        <v>4096000</v>
      </c>
    </row>
    <row r="18" customFormat="false" ht="15" hidden="false" customHeight="false" outlineLevel="0" collapsed="false">
      <c r="A18" s="8" t="n">
        <v>14</v>
      </c>
      <c r="B18" s="9" t="n">
        <f aca="false">ROUND(30*A18*POWER(1.1,A18)*Parametres!$B$4,0)</f>
        <v>6380</v>
      </c>
      <c r="C18" s="9" t="n">
        <f aca="false">B18-ROUND(30*(A18-1)*POWER(1.1,A18-1)*Parametres!$B$4,0)</f>
        <v>994</v>
      </c>
      <c r="D18" s="9" t="n">
        <f aca="false">ROUND(10*A18*POWER(1.1,A18),0)</f>
        <v>532</v>
      </c>
      <c r="E18" s="9" t="n">
        <f aca="false">ROUND(60*POWER(1.5,A18-1),0)</f>
        <v>11677</v>
      </c>
      <c r="F18" s="9" t="n">
        <f aca="false">ROUND(15*POWER(1.5,A18-1),0)</f>
        <v>2919</v>
      </c>
      <c r="G18" s="10" t="n">
        <f aca="false">(E18*Parametres!$B$10+F18*Parametres!$B$11)/(C18*Parametres!$B$10)/24</f>
        <v>0.673017270288397</v>
      </c>
      <c r="I18" s="8" t="n">
        <v>14</v>
      </c>
      <c r="J18" s="9" t="n">
        <f aca="false">ROUND(20*I18*POWER(1.1,I18)*Parametres!$B$4,0)</f>
        <v>4253</v>
      </c>
      <c r="K18" s="9" t="n">
        <f aca="false">J18-ROUND(20*(I18-1)*POWER(1.1,I18-1)*Parametres!$B$4,0)</f>
        <v>663</v>
      </c>
      <c r="L18" s="9" t="n">
        <f aca="false">ROUND(10*I18*POWER(1.1,I18),0)</f>
        <v>532</v>
      </c>
      <c r="M18" s="9" t="n">
        <f aca="false">ROUND(48*POWER(1.6,I18-1),0)</f>
        <v>21617</v>
      </c>
      <c r="N18" s="9" t="n">
        <f aca="false">ROUND(24*POWER(1.6,I18-1),0)</f>
        <v>10809</v>
      </c>
      <c r="O18" s="10" t="n">
        <f aca="false">(M18*Parametres!$B$10+N18*Parametres!$B$11)/(K18*Parametres!$B$11)/24</f>
        <v>1.5849882688118</v>
      </c>
      <c r="Q18" s="8" t="n">
        <v>14</v>
      </c>
      <c r="R18" s="9" t="n">
        <f aca="false">ROUND(10*Q18*POWER(1.1,Q18)*Parametres!$B$4*Parametres!$B$13,0)</f>
        <v>2552</v>
      </c>
      <c r="S18" s="9" t="n">
        <f aca="false">R18-ROUND(10*(Q18-1)*POWER(1.1,Q18-1)*Parametres!$B$4*Parametres!$B$13,0)</f>
        <v>398</v>
      </c>
      <c r="T18" s="9" t="n">
        <f aca="false">ROUND(20*Q18*POWER(1.1,Q18),0)</f>
        <v>1063</v>
      </c>
      <c r="U18" s="9" t="n">
        <f aca="false">ROUND(225*POWER(1.5,Q18-1),0)</f>
        <v>43789</v>
      </c>
      <c r="V18" s="9" t="n">
        <f aca="false">ROUND(75*POWER(1.5,Q18-1),0)</f>
        <v>14596</v>
      </c>
      <c r="W18" s="10" t="n">
        <f aca="false">(U18*Parametres!$B$10+V18*Parametres!$B$11)/(S18*Parametres!$B$12)/24</f>
        <v>2.29212032384143</v>
      </c>
      <c r="Y18" s="8" t="n">
        <v>14</v>
      </c>
      <c r="Z18" s="9" t="n">
        <f aca="false">ROUND(20*Y18*POWER(1.1,Y18),0)</f>
        <v>1063</v>
      </c>
      <c r="AA18" s="9" t="n">
        <f aca="false">ROUND(75*POWER(1.5,Y18-1),0)</f>
        <v>14596</v>
      </c>
      <c r="AB18" s="9" t="n">
        <f aca="false">ROUND(30*POWER(1.5,Y18-1),0)</f>
        <v>5839</v>
      </c>
      <c r="AD18" s="8" t="n">
        <v>14</v>
      </c>
      <c r="AE18" s="9" t="n">
        <f aca="false">5000*FLOOR(2.5*EXP(20*AD18/33),1)</f>
        <v>60510000</v>
      </c>
      <c r="AF18" s="9" t="n">
        <f aca="false">1000*POWER(2,AD18-1)</f>
        <v>8192000</v>
      </c>
    </row>
    <row r="19" customFormat="false" ht="15" hidden="false" customHeight="false" outlineLevel="0" collapsed="false">
      <c r="A19" s="8" t="n">
        <v>15</v>
      </c>
      <c r="B19" s="9" t="n">
        <f aca="false">ROUND(30*A19*POWER(1.1,A19)*Parametres!$B$4,0)</f>
        <v>7519</v>
      </c>
      <c r="C19" s="9" t="n">
        <f aca="false">B19-ROUND(30*(A19-1)*POWER(1.1,A19-1)*Parametres!$B$4,0)</f>
        <v>1139</v>
      </c>
      <c r="D19" s="9" t="n">
        <f aca="false">ROUND(10*A19*POWER(1.1,A19),0)</f>
        <v>627</v>
      </c>
      <c r="E19" s="9" t="n">
        <f aca="false">ROUND(60*POWER(1.5,A19-1),0)</f>
        <v>17516</v>
      </c>
      <c r="F19" s="9" t="n">
        <f aca="false">ROUND(15*POWER(1.5,A19-1),0)</f>
        <v>4379</v>
      </c>
      <c r="G19" s="10" t="n">
        <f aca="false">(E19*Parametres!$B$10+F19*Parametres!$B$11)/(C19*Parametres!$B$10)/24</f>
        <v>0.881054287386596</v>
      </c>
      <c r="I19" s="8" t="n">
        <v>15</v>
      </c>
      <c r="J19" s="9" t="n">
        <f aca="false">ROUND(20*I19*POWER(1.1,I19)*Parametres!$B$4,0)</f>
        <v>5013</v>
      </c>
      <c r="K19" s="9" t="n">
        <f aca="false">J19-ROUND(20*(I19-1)*POWER(1.1,I19-1)*Parametres!$B$4,0)</f>
        <v>760</v>
      </c>
      <c r="L19" s="9" t="n">
        <f aca="false">ROUND(10*I19*POWER(1.1,I19),0)</f>
        <v>627</v>
      </c>
      <c r="M19" s="9" t="n">
        <f aca="false">ROUND(48*POWER(1.6,I19-1),0)</f>
        <v>34588</v>
      </c>
      <c r="N19" s="9" t="n">
        <f aca="false">ROUND(24*POWER(1.6,I19-1),0)</f>
        <v>17294</v>
      </c>
      <c r="O19" s="10" t="n">
        <f aca="false">(M19*Parametres!$B$10+N19*Parametres!$B$11)/(K19*Parametres!$B$11)/24</f>
        <v>2.21231725146199</v>
      </c>
      <c r="Q19" s="8" t="n">
        <v>15</v>
      </c>
      <c r="R19" s="9" t="n">
        <f aca="false">ROUND(10*Q19*POWER(1.1,Q19)*Parametres!$B$4*Parametres!$B$13,0)</f>
        <v>3008</v>
      </c>
      <c r="S19" s="9" t="n">
        <f aca="false">R19-ROUND(10*(Q19-1)*POWER(1.1,Q19-1)*Parametres!$B$4*Parametres!$B$13,0)</f>
        <v>456</v>
      </c>
      <c r="T19" s="9" t="n">
        <f aca="false">ROUND(20*Q19*POWER(1.1,Q19),0)</f>
        <v>1253</v>
      </c>
      <c r="U19" s="9" t="n">
        <f aca="false">ROUND(225*POWER(1.5,Q19-1),0)</f>
        <v>65684</v>
      </c>
      <c r="V19" s="9" t="n">
        <f aca="false">ROUND(75*POWER(1.5,Q19-1),0)</f>
        <v>21895</v>
      </c>
      <c r="W19" s="10" t="n">
        <f aca="false">(U19*Parametres!$B$10+V19*Parametres!$B$11)/(S19*Parametres!$B$12)/24</f>
        <v>3.00092897173489</v>
      </c>
      <c r="Y19" s="8" t="n">
        <v>15</v>
      </c>
      <c r="Z19" s="9" t="n">
        <f aca="false">ROUND(20*Y19*POWER(1.1,Y19),0)</f>
        <v>1253</v>
      </c>
      <c r="AA19" s="9" t="n">
        <f aca="false">ROUND(75*POWER(1.5,Y19-1),0)</f>
        <v>21895</v>
      </c>
      <c r="AB19" s="9" t="n">
        <f aca="false">ROUND(30*POWER(1.5,Y19-1),0)</f>
        <v>8758</v>
      </c>
      <c r="AD19" s="8" t="n">
        <v>15</v>
      </c>
      <c r="AE19" s="9" t="n">
        <f aca="false">5000*FLOOR(2.5*EXP(20*AD19/33),1)</f>
        <v>110925000</v>
      </c>
      <c r="AF19" s="9" t="n">
        <f aca="false">1000*POWER(2,AD19-1)</f>
        <v>16384000</v>
      </c>
    </row>
    <row r="20" customFormat="false" ht="15" hidden="false" customHeight="false" outlineLevel="0" collapsed="false">
      <c r="A20" s="8" t="n">
        <v>16</v>
      </c>
      <c r="B20" s="9" t="n">
        <f aca="false">ROUND(30*A20*POWER(1.1,A20)*Parametres!$B$4,0)</f>
        <v>8822</v>
      </c>
      <c r="C20" s="9" t="n">
        <f aca="false">B20-ROUND(30*(A20-1)*POWER(1.1,A20-1)*Parametres!$B$4,0)</f>
        <v>1303</v>
      </c>
      <c r="D20" s="9" t="n">
        <f aca="false">ROUND(10*A20*POWER(1.1,A20),0)</f>
        <v>735</v>
      </c>
      <c r="E20" s="9" t="n">
        <f aca="false">ROUND(60*POWER(1.5,A20-1),0)</f>
        <v>26274</v>
      </c>
      <c r="F20" s="9" t="n">
        <f aca="false">ROUND(15*POWER(1.5,A20-1),0)</f>
        <v>6568</v>
      </c>
      <c r="G20" s="10" t="n">
        <f aca="false">(E20*Parametres!$B$10+F20*Parametres!$B$11)/(C20*Parametres!$B$10)/24</f>
        <v>1.15521872601688</v>
      </c>
      <c r="I20" s="8" t="n">
        <v>16</v>
      </c>
      <c r="J20" s="9" t="n">
        <f aca="false">ROUND(20*I20*POWER(1.1,I20)*Parametres!$B$4,0)</f>
        <v>5882</v>
      </c>
      <c r="K20" s="9" t="n">
        <f aca="false">J20-ROUND(20*(I20-1)*POWER(1.1,I20-1)*Parametres!$B$4,0)</f>
        <v>869</v>
      </c>
      <c r="L20" s="9" t="n">
        <f aca="false">ROUND(10*I20*POWER(1.1,I20),0)</f>
        <v>735</v>
      </c>
      <c r="M20" s="9" t="n">
        <f aca="false">ROUND(48*POWER(1.6,I20-1),0)</f>
        <v>55340</v>
      </c>
      <c r="N20" s="9" t="n">
        <f aca="false">ROUND(24*POWER(1.6,I20-1),0)</f>
        <v>27670</v>
      </c>
      <c r="O20" s="10" t="n">
        <f aca="false">(M20*Parametres!$B$10+N20*Parametres!$B$11)/(K20*Parametres!$B$11)/24</f>
        <v>3.09567190896305</v>
      </c>
      <c r="Q20" s="8" t="n">
        <v>16</v>
      </c>
      <c r="R20" s="9" t="n">
        <f aca="false">ROUND(10*Q20*POWER(1.1,Q20)*Parametres!$B$4*Parametres!$B$13,0)</f>
        <v>3529</v>
      </c>
      <c r="S20" s="9" t="n">
        <f aca="false">R20-ROUND(10*(Q20-1)*POWER(1.1,Q20-1)*Parametres!$B$4*Parametres!$B$13,0)</f>
        <v>521</v>
      </c>
      <c r="T20" s="9" t="n">
        <f aca="false">ROUND(20*Q20*POWER(1.1,Q20),0)</f>
        <v>1470</v>
      </c>
      <c r="U20" s="9" t="n">
        <f aca="false">ROUND(225*POWER(1.5,Q20-1),0)</f>
        <v>98526</v>
      </c>
      <c r="V20" s="9" t="n">
        <f aca="false">ROUND(75*POWER(1.5,Q20-1),0)</f>
        <v>32842</v>
      </c>
      <c r="W20" s="10" t="n">
        <f aca="false">(U20*Parametres!$B$10+V20*Parametres!$B$11)/(S20*Parametres!$B$12)/24</f>
        <v>3.9397792706334</v>
      </c>
      <c r="Y20" s="8" t="n">
        <v>16</v>
      </c>
      <c r="Z20" s="9" t="n">
        <f aca="false">ROUND(20*Y20*POWER(1.1,Y20),0)</f>
        <v>1470</v>
      </c>
      <c r="AA20" s="9" t="n">
        <f aca="false">ROUND(75*POWER(1.5,Y20-1),0)</f>
        <v>32842</v>
      </c>
      <c r="AB20" s="9" t="n">
        <f aca="false">ROUND(30*POWER(1.5,Y20-1),0)</f>
        <v>13137</v>
      </c>
      <c r="AD20" s="8" t="n">
        <v>16</v>
      </c>
      <c r="AE20" s="9" t="n">
        <f aca="false">5000*FLOOR(2.5*EXP(20*AD20/33),1)</f>
        <v>203350000</v>
      </c>
      <c r="AF20" s="9" t="n">
        <f aca="false">1000*POWER(2,AD20-1)</f>
        <v>32768000</v>
      </c>
    </row>
    <row r="21" customFormat="false" ht="15" hidden="false" customHeight="false" outlineLevel="0" collapsed="false">
      <c r="A21" s="8" t="n">
        <v>17</v>
      </c>
      <c r="B21" s="9" t="n">
        <f aca="false">ROUND(30*A21*POWER(1.1,A21)*Parametres!$B$4,0)</f>
        <v>10311</v>
      </c>
      <c r="C21" s="9" t="n">
        <f aca="false">B21-ROUND(30*(A21-1)*POWER(1.1,A21-1)*Parametres!$B$4,0)</f>
        <v>1489</v>
      </c>
      <c r="D21" s="9" t="n">
        <f aca="false">ROUND(10*A21*POWER(1.1,A21),0)</f>
        <v>859</v>
      </c>
      <c r="E21" s="9" t="n">
        <f aca="false">ROUND(60*POWER(1.5,A21-1),0)</f>
        <v>39410</v>
      </c>
      <c r="F21" s="9" t="n">
        <f aca="false">ROUND(15*POWER(1.5,A21-1),0)</f>
        <v>9853</v>
      </c>
      <c r="G21" s="10" t="n">
        <f aca="false">(E21*Parametres!$B$10+F21*Parametres!$B$11)/(C21*Parametres!$B$10)/24</f>
        <v>1.51638403850459</v>
      </c>
      <c r="I21" s="8" t="n">
        <v>17</v>
      </c>
      <c r="J21" s="9" t="n">
        <f aca="false">ROUND(20*I21*POWER(1.1,I21)*Parametres!$B$4,0)</f>
        <v>6874</v>
      </c>
      <c r="K21" s="9" t="n">
        <f aca="false">J21-ROUND(20*(I21-1)*POWER(1.1,I21-1)*Parametres!$B$4,0)</f>
        <v>992</v>
      </c>
      <c r="L21" s="9" t="n">
        <f aca="false">ROUND(10*I21*POWER(1.1,I21),0)</f>
        <v>859</v>
      </c>
      <c r="M21" s="9" t="n">
        <f aca="false">ROUND(48*POWER(1.6,I21-1),0)</f>
        <v>88544</v>
      </c>
      <c r="N21" s="9" t="n">
        <f aca="false">ROUND(24*POWER(1.6,I21-1),0)</f>
        <v>44272</v>
      </c>
      <c r="O21" s="10" t="n">
        <f aca="false">(M21*Parametres!$B$10+N21*Parametres!$B$11)/(K21*Parametres!$B$11)/24</f>
        <v>4.33893369175627</v>
      </c>
      <c r="Q21" s="8" t="n">
        <v>17</v>
      </c>
      <c r="R21" s="9" t="n">
        <f aca="false">ROUND(10*Q21*POWER(1.1,Q21)*Parametres!$B$4*Parametres!$B$13,0)</f>
        <v>4124</v>
      </c>
      <c r="S21" s="9" t="n">
        <f aca="false">R21-ROUND(10*(Q21-1)*POWER(1.1,Q21-1)*Parametres!$B$4*Parametres!$B$13,0)</f>
        <v>595</v>
      </c>
      <c r="T21" s="9" t="n">
        <f aca="false">ROUND(20*Q21*POWER(1.1,Q21),0)</f>
        <v>1719</v>
      </c>
      <c r="U21" s="9" t="n">
        <f aca="false">ROUND(225*POWER(1.5,Q21-1),0)</f>
        <v>147789</v>
      </c>
      <c r="V21" s="9" t="n">
        <f aca="false">ROUND(75*POWER(1.5,Q21-1),0)</f>
        <v>49263</v>
      </c>
      <c r="W21" s="10" t="n">
        <f aca="false">(U21*Parametres!$B$10+V21*Parametres!$B$11)/(S21*Parametres!$B$12)/24</f>
        <v>5.17468487394958</v>
      </c>
      <c r="Y21" s="8" t="n">
        <v>17</v>
      </c>
      <c r="Z21" s="9" t="n">
        <f aca="false">ROUND(20*Y21*POWER(1.1,Y21),0)</f>
        <v>1719</v>
      </c>
      <c r="AA21" s="9" t="n">
        <f aca="false">ROUND(75*POWER(1.5,Y21-1),0)</f>
        <v>49263</v>
      </c>
      <c r="AB21" s="9" t="n">
        <f aca="false">ROUND(30*POWER(1.5,Y21-1),0)</f>
        <v>19705</v>
      </c>
      <c r="AD21" s="8" t="n">
        <v>17</v>
      </c>
      <c r="AE21" s="9" t="n">
        <f aca="false">5000*FLOOR(2.5*EXP(20*AD21/33),1)</f>
        <v>372785000</v>
      </c>
      <c r="AF21" s="9" t="n">
        <f aca="false">1000*POWER(2,AD21-1)</f>
        <v>65536000</v>
      </c>
    </row>
    <row r="22" customFormat="false" ht="15" hidden="false" customHeight="false" outlineLevel="0" collapsed="false">
      <c r="A22" s="8" t="n">
        <v>18</v>
      </c>
      <c r="B22" s="9" t="n">
        <f aca="false">ROUND(30*A22*POWER(1.1,A22)*Parametres!$B$4,0)</f>
        <v>12009</v>
      </c>
      <c r="C22" s="9" t="n">
        <f aca="false">B22-ROUND(30*(A22-1)*POWER(1.1,A22-1)*Parametres!$B$4,0)</f>
        <v>1698</v>
      </c>
      <c r="D22" s="9" t="n">
        <f aca="false">ROUND(10*A22*POWER(1.1,A22),0)</f>
        <v>1001</v>
      </c>
      <c r="E22" s="9" t="n">
        <f aca="false">ROUND(60*POWER(1.5,A22-1),0)</f>
        <v>59116</v>
      </c>
      <c r="F22" s="9" t="n">
        <f aca="false">ROUND(15*POWER(1.5,A22-1),0)</f>
        <v>14779</v>
      </c>
      <c r="G22" s="10" t="n">
        <f aca="false">(E22*Parametres!$B$10+F22*Parametres!$B$11)/(C22*Parametres!$B$10)/24</f>
        <v>1.99461376128779</v>
      </c>
      <c r="I22" s="8" t="n">
        <v>18</v>
      </c>
      <c r="J22" s="9" t="n">
        <f aca="false">ROUND(20*I22*POWER(1.1,I22)*Parametres!$B$4,0)</f>
        <v>8006</v>
      </c>
      <c r="K22" s="9" t="n">
        <f aca="false">J22-ROUND(20*(I22-1)*POWER(1.1,I22-1)*Parametres!$B$4,0)</f>
        <v>1132</v>
      </c>
      <c r="L22" s="9" t="n">
        <f aca="false">ROUND(10*I22*POWER(1.1,I22),0)</f>
        <v>1001</v>
      </c>
      <c r="M22" s="9" t="n">
        <f aca="false">ROUND(48*POWER(1.6,I22-1),0)</f>
        <v>141671</v>
      </c>
      <c r="N22" s="9" t="n">
        <f aca="false">ROUND(24*POWER(1.6,I22-1),0)</f>
        <v>70835</v>
      </c>
      <c r="O22" s="10" t="n">
        <f aca="false">(M22*Parametres!$B$10+N22*Parametres!$B$11)/(K22*Parametres!$B$11)/24</f>
        <v>6.08371368276404</v>
      </c>
      <c r="Q22" s="8" t="n">
        <v>18</v>
      </c>
      <c r="R22" s="9" t="n">
        <f aca="false">ROUND(10*Q22*POWER(1.1,Q22)*Parametres!$B$4*Parametres!$B$13,0)</f>
        <v>4804</v>
      </c>
      <c r="S22" s="9" t="n">
        <f aca="false">R22-ROUND(10*(Q22-1)*POWER(1.1,Q22-1)*Parametres!$B$4*Parametres!$B$13,0)</f>
        <v>680</v>
      </c>
      <c r="T22" s="9" t="n">
        <f aca="false">ROUND(20*Q22*POWER(1.1,Q22),0)</f>
        <v>2002</v>
      </c>
      <c r="U22" s="9" t="n">
        <f aca="false">ROUND(225*POWER(1.5,Q22-1),0)</f>
        <v>221684</v>
      </c>
      <c r="V22" s="9" t="n">
        <f aca="false">ROUND(75*POWER(1.5,Q22-1),0)</f>
        <v>73895</v>
      </c>
      <c r="W22" s="10" t="n">
        <f aca="false">(U22*Parametres!$B$10+V22*Parametres!$B$11)/(S22*Parametres!$B$12)/24</f>
        <v>6.79179942810458</v>
      </c>
      <c r="Y22" s="8" t="n">
        <v>18</v>
      </c>
      <c r="Z22" s="9" t="n">
        <f aca="false">ROUND(20*Y22*POWER(1.1,Y22),0)</f>
        <v>2002</v>
      </c>
      <c r="AA22" s="9" t="n">
        <f aca="false">ROUND(75*POWER(1.5,Y22-1),0)</f>
        <v>73895</v>
      </c>
      <c r="AB22" s="9" t="n">
        <f aca="false">ROUND(30*POWER(1.5,Y22-1),0)</f>
        <v>29558</v>
      </c>
      <c r="AD22" s="8" t="n">
        <v>18</v>
      </c>
      <c r="AE22" s="9" t="n">
        <f aca="false">5000*FLOOR(2.5*EXP(20*AD22/33),1)</f>
        <v>683385000</v>
      </c>
      <c r="AF22" s="9" t="n">
        <f aca="false">1000*POWER(2,AD22-1)</f>
        <v>131072000</v>
      </c>
    </row>
    <row r="23" customFormat="false" ht="15" hidden="false" customHeight="false" outlineLevel="0" collapsed="false">
      <c r="A23" s="8" t="n">
        <v>19</v>
      </c>
      <c r="B23" s="9" t="n">
        <f aca="false">ROUND(30*A23*POWER(1.1,A23)*Parametres!$B$4,0)</f>
        <v>13944</v>
      </c>
      <c r="C23" s="9" t="n">
        <f aca="false">B23-ROUND(30*(A23-1)*POWER(1.1,A23-1)*Parametres!$B$4,0)</f>
        <v>1935</v>
      </c>
      <c r="D23" s="9" t="n">
        <f aca="false">ROUND(10*A23*POWER(1.1,A23),0)</f>
        <v>1162</v>
      </c>
      <c r="E23" s="9" t="n">
        <f aca="false">ROUND(60*POWER(1.5,A23-1),0)</f>
        <v>88674</v>
      </c>
      <c r="F23" s="9" t="n">
        <f aca="false">ROUND(15*POWER(1.5,A23-1),0)</f>
        <v>22168</v>
      </c>
      <c r="G23" s="10" t="n">
        <f aca="false">(E23*Parametres!$B$10+F23*Parametres!$B$11)/(C23*Parametres!$B$10)/24</f>
        <v>2.62545219638243</v>
      </c>
      <c r="I23" s="8" t="n">
        <v>19</v>
      </c>
      <c r="J23" s="9" t="n">
        <f aca="false">ROUND(20*I23*POWER(1.1,I23)*Parametres!$B$4,0)</f>
        <v>9296</v>
      </c>
      <c r="K23" s="9" t="n">
        <f aca="false">J23-ROUND(20*(I23-1)*POWER(1.1,I23-1)*Parametres!$B$4,0)</f>
        <v>1290</v>
      </c>
      <c r="L23" s="9" t="n">
        <f aca="false">ROUND(10*I23*POWER(1.1,I23),0)</f>
        <v>1162</v>
      </c>
      <c r="M23" s="9" t="n">
        <f aca="false">ROUND(48*POWER(1.6,I23-1),0)</f>
        <v>226674</v>
      </c>
      <c r="N23" s="9" t="n">
        <f aca="false">ROUND(24*POWER(1.6,I23-1),0)</f>
        <v>113337</v>
      </c>
      <c r="O23" s="10" t="n">
        <f aca="false">(M23*Parametres!$B$10+N23*Parametres!$B$11)/(K23*Parametres!$B$11)/24</f>
        <v>8.54176356589147</v>
      </c>
      <c r="Q23" s="8" t="n">
        <v>19</v>
      </c>
      <c r="R23" s="9" t="n">
        <f aca="false">ROUND(10*Q23*POWER(1.1,Q23)*Parametres!$B$4*Parametres!$B$13,0)</f>
        <v>5578</v>
      </c>
      <c r="S23" s="9" t="n">
        <f aca="false">R23-ROUND(10*(Q23-1)*POWER(1.1,Q23-1)*Parametres!$B$4*Parametres!$B$13,0)</f>
        <v>774</v>
      </c>
      <c r="T23" s="9" t="n">
        <f aca="false">ROUND(20*Q23*POWER(1.1,Q23),0)</f>
        <v>2324</v>
      </c>
      <c r="U23" s="9" t="n">
        <f aca="false">ROUND(225*POWER(1.5,Q23-1),0)</f>
        <v>332526</v>
      </c>
      <c r="V23" s="9" t="n">
        <f aca="false">ROUND(75*POWER(1.5,Q23-1),0)</f>
        <v>110842</v>
      </c>
      <c r="W23" s="10" t="n">
        <f aca="false">(U23*Parametres!$B$10+V23*Parametres!$B$11)/(S23*Parametres!$B$12)/24</f>
        <v>8.95041989664083</v>
      </c>
      <c r="Y23" s="8" t="n">
        <v>19</v>
      </c>
      <c r="Z23" s="9" t="n">
        <f aca="false">ROUND(20*Y23*POWER(1.1,Y23),0)</f>
        <v>2324</v>
      </c>
      <c r="AA23" s="9" t="n">
        <f aca="false">ROUND(75*POWER(1.5,Y23-1),0)</f>
        <v>110842</v>
      </c>
      <c r="AB23" s="9" t="n">
        <f aca="false">ROUND(30*POWER(1.5,Y23-1),0)</f>
        <v>44337</v>
      </c>
      <c r="AD23" s="8" t="n">
        <v>19</v>
      </c>
      <c r="AE23" s="9" t="n">
        <f aca="false">5000*FLOOR(2.5*EXP(20*AD23/33),1)</f>
        <v>1252785000</v>
      </c>
      <c r="AF23" s="9" t="n">
        <f aca="false">1000*POWER(2,AD23-1)</f>
        <v>262144000</v>
      </c>
    </row>
    <row r="24" customFormat="false" ht="15" hidden="false" customHeight="false" outlineLevel="0" collapsed="false">
      <c r="A24" s="8" t="n">
        <v>20</v>
      </c>
      <c r="B24" s="9" t="n">
        <f aca="false">ROUND(30*A24*POWER(1.1,A24)*Parametres!$B$4,0)</f>
        <v>16146</v>
      </c>
      <c r="C24" s="9" t="n">
        <f aca="false">B24-ROUND(30*(A24-1)*POWER(1.1,A24-1)*Parametres!$B$4,0)</f>
        <v>2202</v>
      </c>
      <c r="D24" s="9" t="n">
        <f aca="false">ROUND(10*A24*POWER(1.1,A24),0)</f>
        <v>1345</v>
      </c>
      <c r="E24" s="9" t="n">
        <f aca="false">ROUND(60*POWER(1.5,A24-1),0)</f>
        <v>133010</v>
      </c>
      <c r="F24" s="9" t="n">
        <f aca="false">ROUND(15*POWER(1.5,A24-1),0)</f>
        <v>33253</v>
      </c>
      <c r="G24" s="10" t="n">
        <f aca="false">(E24*Parametres!$B$10+F24*Parametres!$B$11)/(C24*Parametres!$B$10)/24</f>
        <v>3.46067022403875</v>
      </c>
      <c r="I24" s="8" t="n">
        <v>20</v>
      </c>
      <c r="J24" s="9" t="n">
        <f aca="false">ROUND(20*I24*POWER(1.1,I24)*Parametres!$B$4,0)</f>
        <v>10764</v>
      </c>
      <c r="K24" s="9" t="n">
        <f aca="false">J24-ROUND(20*(I24-1)*POWER(1.1,I24-1)*Parametres!$B$4,0)</f>
        <v>1468</v>
      </c>
      <c r="L24" s="9" t="n">
        <f aca="false">ROUND(10*I24*POWER(1.1,I24),0)</f>
        <v>1345</v>
      </c>
      <c r="M24" s="9" t="n">
        <f aca="false">ROUND(48*POWER(1.6,I24-1),0)</f>
        <v>362678</v>
      </c>
      <c r="N24" s="9" t="n">
        <f aca="false">ROUND(24*POWER(1.6,I24-1),0)</f>
        <v>181339</v>
      </c>
      <c r="O24" s="10" t="n">
        <f aca="false">(M24*Parametres!$B$10+N24*Parametres!$B$11)/(K24*Parametres!$B$11)/24</f>
        <v>12.0096597789888</v>
      </c>
      <c r="Q24" s="8" t="n">
        <v>20</v>
      </c>
      <c r="R24" s="9" t="n">
        <f aca="false">ROUND(10*Q24*POWER(1.1,Q24)*Parametres!$B$4*Parametres!$B$13,0)</f>
        <v>6458</v>
      </c>
      <c r="S24" s="9" t="n">
        <f aca="false">R24-ROUND(10*(Q24-1)*POWER(1.1,Q24-1)*Parametres!$B$4*Parametres!$B$13,0)</f>
        <v>880</v>
      </c>
      <c r="T24" s="9" t="n">
        <f aca="false">ROUND(20*Q24*POWER(1.1,Q24),0)</f>
        <v>2691</v>
      </c>
      <c r="U24" s="9" t="n">
        <f aca="false">ROUND(225*POWER(1.5,Q24-1),0)</f>
        <v>498789</v>
      </c>
      <c r="V24" s="9" t="n">
        <f aca="false">ROUND(75*POWER(1.5,Q24-1),0)</f>
        <v>166263</v>
      </c>
      <c r="W24" s="10" t="n">
        <f aca="false">(U24*Parametres!$B$10+V24*Parametres!$B$11)/(S24*Parametres!$B$12)/24</f>
        <v>11.8084517045455</v>
      </c>
      <c r="Y24" s="8" t="n">
        <v>20</v>
      </c>
      <c r="Z24" s="9" t="n">
        <f aca="false">ROUND(20*Y24*POWER(1.1,Y24),0)</f>
        <v>2691</v>
      </c>
      <c r="AA24" s="9" t="n">
        <f aca="false">ROUND(75*POWER(1.5,Y24-1),0)</f>
        <v>166263</v>
      </c>
      <c r="AB24" s="9" t="n">
        <f aca="false">ROUND(30*POWER(1.5,Y24-1),0)</f>
        <v>66505</v>
      </c>
      <c r="AD24" s="8" t="n">
        <v>20</v>
      </c>
      <c r="AE24" s="9" t="n">
        <f aca="false">5000*FLOOR(2.5*EXP(20*AD24/33),1)</f>
        <v>2296600000</v>
      </c>
      <c r="AF24" s="9" t="n">
        <f aca="false">1000*POWER(2,AD24-1)</f>
        <v>524288000</v>
      </c>
    </row>
    <row r="25" customFormat="false" ht="15" hidden="false" customHeight="false" outlineLevel="0" collapsed="false">
      <c r="A25" s="8" t="n">
        <v>21</v>
      </c>
      <c r="B25" s="9" t="n">
        <f aca="false">ROUND(30*A25*POWER(1.1,A25)*Parametres!$B$4,0)</f>
        <v>18649</v>
      </c>
      <c r="C25" s="9" t="n">
        <f aca="false">B25-ROUND(30*(A25-1)*POWER(1.1,A25-1)*Parametres!$B$4,0)</f>
        <v>2503</v>
      </c>
      <c r="D25" s="9" t="n">
        <f aca="false">ROUND(10*A25*POWER(1.1,A25),0)</f>
        <v>1554</v>
      </c>
      <c r="E25" s="9" t="n">
        <f aca="false">ROUND(60*POWER(1.5,A25-1),0)</f>
        <v>199515</v>
      </c>
      <c r="F25" s="9" t="n">
        <f aca="false">ROUND(15*POWER(1.5,A25-1),0)</f>
        <v>49879</v>
      </c>
      <c r="G25" s="10" t="n">
        <f aca="false">(E25*Parametres!$B$10+F25*Parametres!$B$11)/(C25*Parametres!$B$10)/24</f>
        <v>4.56674490611267</v>
      </c>
      <c r="I25" s="8" t="n">
        <v>21</v>
      </c>
      <c r="J25" s="9" t="n">
        <f aca="false">ROUND(20*I25*POWER(1.1,I25)*Parametres!$B$4,0)</f>
        <v>12432</v>
      </c>
      <c r="K25" s="9" t="n">
        <f aca="false">J25-ROUND(20*(I25-1)*POWER(1.1,I25-1)*Parametres!$B$4,0)</f>
        <v>1668</v>
      </c>
      <c r="L25" s="9" t="n">
        <f aca="false">ROUND(10*I25*POWER(1.1,I25),0)</f>
        <v>1554</v>
      </c>
      <c r="M25" s="9" t="n">
        <f aca="false">ROUND(48*POWER(1.6,I25-1),0)</f>
        <v>580284</v>
      </c>
      <c r="N25" s="9" t="n">
        <f aca="false">ROUND(24*POWER(1.6,I25-1),0)</f>
        <v>290142</v>
      </c>
      <c r="O25" s="10" t="n">
        <f aca="false">(M25*Parametres!$B$10+N25*Parametres!$B$11)/(K25*Parametres!$B$11)/24</f>
        <v>16.9114208633094</v>
      </c>
      <c r="Q25" s="8" t="n">
        <v>21</v>
      </c>
      <c r="R25" s="9" t="n">
        <f aca="false">ROUND(10*Q25*POWER(1.1,Q25)*Parametres!$B$4*Parametres!$B$13,0)</f>
        <v>7459</v>
      </c>
      <c r="S25" s="9" t="n">
        <f aca="false">R25-ROUND(10*(Q25-1)*POWER(1.1,Q25-1)*Parametres!$B$4*Parametres!$B$13,0)</f>
        <v>1001</v>
      </c>
      <c r="T25" s="9" t="n">
        <f aca="false">ROUND(20*Q25*POWER(1.1,Q25),0)</f>
        <v>3108</v>
      </c>
      <c r="U25" s="9" t="n">
        <f aca="false">ROUND(225*POWER(1.5,Q25-1),0)</f>
        <v>748183</v>
      </c>
      <c r="V25" s="9" t="n">
        <f aca="false">ROUND(75*POWER(1.5,Q25-1),0)</f>
        <v>249394</v>
      </c>
      <c r="W25" s="10" t="n">
        <f aca="false">(U25*Parametres!$B$10+V25*Parametres!$B$11)/(S25*Parametres!$B$12)/24</f>
        <v>15.5715673215673</v>
      </c>
      <c r="Y25" s="8" t="n">
        <v>21</v>
      </c>
      <c r="Z25" s="9" t="n">
        <f aca="false">ROUND(20*Y25*POWER(1.1,Y25),0)</f>
        <v>3108</v>
      </c>
      <c r="AA25" s="9" t="n">
        <f aca="false">ROUND(75*POWER(1.5,Y25-1),0)</f>
        <v>249394</v>
      </c>
      <c r="AB25" s="9" t="n">
        <f aca="false">ROUND(30*POWER(1.5,Y25-1),0)</f>
        <v>99758</v>
      </c>
    </row>
    <row r="26" customFormat="false" ht="15" hidden="false" customHeight="false" outlineLevel="0" collapsed="false">
      <c r="A26" s="8" t="n">
        <v>22</v>
      </c>
      <c r="B26" s="9" t="n">
        <f aca="false">ROUND(30*A26*POWER(1.1,A26)*Parametres!$B$4,0)</f>
        <v>21490</v>
      </c>
      <c r="C26" s="9" t="n">
        <f aca="false">B26-ROUND(30*(A26-1)*POWER(1.1,A26-1)*Parametres!$B$4,0)</f>
        <v>2841</v>
      </c>
      <c r="D26" s="9" t="n">
        <f aca="false">ROUND(10*A26*POWER(1.1,A26),0)</f>
        <v>1791</v>
      </c>
      <c r="E26" s="9" t="n">
        <f aca="false">ROUND(60*POWER(1.5,A26-1),0)</f>
        <v>299273</v>
      </c>
      <c r="F26" s="9" t="n">
        <f aca="false">ROUND(15*POWER(1.5,A26-1),0)</f>
        <v>74818</v>
      </c>
      <c r="G26" s="10" t="n">
        <f aca="false">(E26*Parametres!$B$10+F26*Parametres!$B$11)/(C26*Parametres!$B$10)/24</f>
        <v>6.03514020884665</v>
      </c>
      <c r="I26" s="8" t="n">
        <v>22</v>
      </c>
      <c r="J26" s="9" t="n">
        <f aca="false">ROUND(20*I26*POWER(1.1,I26)*Parametres!$B$4,0)</f>
        <v>14327</v>
      </c>
      <c r="K26" s="9" t="n">
        <f aca="false">J26-ROUND(20*(I26-1)*POWER(1.1,I26-1)*Parametres!$B$4,0)</f>
        <v>1895</v>
      </c>
      <c r="L26" s="9" t="n">
        <f aca="false">ROUND(10*I26*POWER(1.1,I26),0)</f>
        <v>1791</v>
      </c>
      <c r="M26" s="9" t="n">
        <f aca="false">ROUND(48*POWER(1.6,I26-1),0)</f>
        <v>928455</v>
      </c>
      <c r="N26" s="9" t="n">
        <f aca="false">ROUND(24*POWER(1.6,I26-1),0)</f>
        <v>464228</v>
      </c>
      <c r="O26" s="10" t="n">
        <f aca="false">(M26*Parametres!$B$10+N26*Parametres!$B$11)/(K26*Parametres!$B$11)/24</f>
        <v>23.817018469657</v>
      </c>
      <c r="Q26" s="8" t="n">
        <v>22</v>
      </c>
      <c r="R26" s="9" t="n">
        <f aca="false">ROUND(10*Q26*POWER(1.1,Q26)*Parametres!$B$4*Parametres!$B$13,0)</f>
        <v>8596</v>
      </c>
      <c r="S26" s="9" t="n">
        <f aca="false">R26-ROUND(10*(Q26-1)*POWER(1.1,Q26-1)*Parametres!$B$4*Parametres!$B$13,0)</f>
        <v>1137</v>
      </c>
      <c r="T26" s="9" t="n">
        <f aca="false">ROUND(20*Q26*POWER(1.1,Q26),0)</f>
        <v>3582</v>
      </c>
      <c r="U26" s="9" t="n">
        <f aca="false">ROUND(225*POWER(1.5,Q26-1),0)</f>
        <v>1122274</v>
      </c>
      <c r="V26" s="9" t="n">
        <f aca="false">ROUND(75*POWER(1.5,Q26-1),0)</f>
        <v>374091</v>
      </c>
      <c r="W26" s="10" t="n">
        <f aca="false">(U26*Parametres!$B$10+V26*Parametres!$B$11)/(S26*Parametres!$B$12)/24</f>
        <v>20.5635016612919</v>
      </c>
      <c r="Y26" s="8" t="n">
        <v>22</v>
      </c>
      <c r="Z26" s="9" t="n">
        <f aca="false">ROUND(20*Y26*POWER(1.1,Y26),0)</f>
        <v>3582</v>
      </c>
      <c r="AA26" s="9" t="n">
        <f aca="false">ROUND(75*POWER(1.5,Y26-1),0)</f>
        <v>374091</v>
      </c>
      <c r="AB26" s="9" t="n">
        <f aca="false">ROUND(30*POWER(1.5,Y26-1),0)</f>
        <v>149637</v>
      </c>
    </row>
    <row r="27" customFormat="false" ht="15" hidden="false" customHeight="false" outlineLevel="0" collapsed="false">
      <c r="A27" s="8" t="n">
        <v>23</v>
      </c>
      <c r="B27" s="9" t="n">
        <f aca="false">ROUND(30*A27*POWER(1.1,A27)*Parametres!$B$4,0)</f>
        <v>24714</v>
      </c>
      <c r="C27" s="9" t="n">
        <f aca="false">B27-ROUND(30*(A27-1)*POWER(1.1,A27-1)*Parametres!$B$4,0)</f>
        <v>3224</v>
      </c>
      <c r="D27" s="9" t="n">
        <f aca="false">ROUND(10*A27*POWER(1.1,A27),0)</f>
        <v>2059</v>
      </c>
      <c r="E27" s="9" t="n">
        <f aca="false">ROUND(60*POWER(1.5,A27-1),0)</f>
        <v>448910</v>
      </c>
      <c r="F27" s="9" t="n">
        <f aca="false">ROUND(15*POWER(1.5,A27-1),0)</f>
        <v>112227</v>
      </c>
      <c r="G27" s="10" t="n">
        <f aca="false">(E27*Parametres!$B$10+F27*Parametres!$B$11)/(C27*Parametres!$B$10)/24</f>
        <v>7.97728623862696</v>
      </c>
      <c r="I27" s="8" t="n">
        <v>23</v>
      </c>
      <c r="J27" s="9" t="n">
        <f aca="false">ROUND(20*I27*POWER(1.1,I27)*Parametres!$B$4,0)</f>
        <v>16476</v>
      </c>
      <c r="K27" s="9" t="n">
        <f aca="false">J27-ROUND(20*(I27-1)*POWER(1.1,I27-1)*Parametres!$B$4,0)</f>
        <v>2149</v>
      </c>
      <c r="L27" s="9" t="n">
        <f aca="false">ROUND(10*I27*POWER(1.1,I27),0)</f>
        <v>2059</v>
      </c>
      <c r="M27" s="9" t="n">
        <f aca="false">ROUND(48*POWER(1.6,I27-1),0)</f>
        <v>1485528</v>
      </c>
      <c r="N27" s="9" t="n">
        <f aca="false">ROUND(24*POWER(1.6,I27-1),0)</f>
        <v>742764</v>
      </c>
      <c r="O27" s="10" t="n">
        <f aca="false">(M27*Parametres!$B$10+N27*Parametres!$B$11)/(K27*Parametres!$B$11)/24</f>
        <v>33.6031487513572</v>
      </c>
      <c r="Q27" s="8" t="n">
        <v>23</v>
      </c>
      <c r="R27" s="9" t="n">
        <f aca="false">ROUND(10*Q27*POWER(1.1,Q27)*Parametres!$B$4*Parametres!$B$13,0)</f>
        <v>9886</v>
      </c>
      <c r="S27" s="9" t="n">
        <f aca="false">R27-ROUND(10*(Q27-1)*POWER(1.1,Q27-1)*Parametres!$B$4*Parametres!$B$13,0)</f>
        <v>1290</v>
      </c>
      <c r="T27" s="9" t="n">
        <f aca="false">ROUND(20*Q27*POWER(1.1,Q27),0)</f>
        <v>4119</v>
      </c>
      <c r="U27" s="9" t="n">
        <f aca="false">ROUND(225*POWER(1.5,Q27-1),0)</f>
        <v>1683411</v>
      </c>
      <c r="V27" s="9" t="n">
        <f aca="false">ROUND(75*POWER(1.5,Q27-1),0)</f>
        <v>561137</v>
      </c>
      <c r="W27" s="10" t="n">
        <f aca="false">(U27*Parametres!$B$10+V27*Parametres!$B$11)/(S27*Parametres!$B$12)/24</f>
        <v>27.1868701550388</v>
      </c>
      <c r="Y27" s="8" t="n">
        <v>23</v>
      </c>
      <c r="Z27" s="9" t="n">
        <f aca="false">ROUND(20*Y27*POWER(1.1,Y27),0)</f>
        <v>4119</v>
      </c>
      <c r="AA27" s="9" t="n">
        <f aca="false">ROUND(75*POWER(1.5,Y27-1),0)</f>
        <v>561137</v>
      </c>
      <c r="AB27" s="9" t="n">
        <f aca="false">ROUND(30*POWER(1.5,Y27-1),0)</f>
        <v>224455</v>
      </c>
    </row>
    <row r="28" customFormat="false" ht="15" hidden="false" customHeight="false" outlineLevel="0" collapsed="false">
      <c r="A28" s="8" t="n">
        <v>24</v>
      </c>
      <c r="B28" s="9" t="n">
        <f aca="false">ROUND(30*A28*POWER(1.1,A28)*Parametres!$B$4,0)</f>
        <v>28367</v>
      </c>
      <c r="C28" s="9" t="n">
        <f aca="false">B28-ROUND(30*(A28-1)*POWER(1.1,A28-1)*Parametres!$B$4,0)</f>
        <v>3653</v>
      </c>
      <c r="D28" s="9" t="n">
        <f aca="false">ROUND(10*A28*POWER(1.1,A28),0)</f>
        <v>2364</v>
      </c>
      <c r="E28" s="9" t="n">
        <f aca="false">ROUND(60*POWER(1.5,A28-1),0)</f>
        <v>673364</v>
      </c>
      <c r="F28" s="9" t="n">
        <f aca="false">ROUND(15*POWER(1.5,A28-1),0)</f>
        <v>168341</v>
      </c>
      <c r="G28" s="10" t="n">
        <f aca="false">(E28*Parametres!$B$10+F28*Parametres!$B$11)/(C28*Parametres!$B$10)/24</f>
        <v>10.5606750159686</v>
      </c>
      <c r="I28" s="8" t="n">
        <v>24</v>
      </c>
      <c r="J28" s="9" t="n">
        <f aca="false">ROUND(20*I28*POWER(1.1,I28)*Parametres!$B$4,0)</f>
        <v>18911</v>
      </c>
      <c r="K28" s="9" t="n">
        <f aca="false">J28-ROUND(20*(I28-1)*POWER(1.1,I28-1)*Parametres!$B$4,0)</f>
        <v>2435</v>
      </c>
      <c r="L28" s="9" t="n">
        <f aca="false">ROUND(10*I28*POWER(1.1,I28),0)</f>
        <v>2364</v>
      </c>
      <c r="M28" s="9" t="n">
        <f aca="false">ROUND(48*POWER(1.6,I28-1),0)</f>
        <v>2376845</v>
      </c>
      <c r="N28" s="9" t="n">
        <f aca="false">ROUND(24*POWER(1.6,I28-1),0)</f>
        <v>1188422</v>
      </c>
      <c r="O28" s="10" t="n">
        <f aca="false">(M28*Parametres!$B$10+N28*Parametres!$B$11)/(K28*Parametres!$B$11)/24</f>
        <v>47.4501254848277</v>
      </c>
      <c r="Q28" s="8" t="n">
        <v>24</v>
      </c>
      <c r="R28" s="9" t="n">
        <f aca="false">ROUND(10*Q28*POWER(1.1,Q28)*Parametres!$B$4*Parametres!$B$13,0)</f>
        <v>11347</v>
      </c>
      <c r="S28" s="9" t="n">
        <f aca="false">R28-ROUND(10*(Q28-1)*POWER(1.1,Q28-1)*Parametres!$B$4*Parametres!$B$13,0)</f>
        <v>1461</v>
      </c>
      <c r="T28" s="9" t="n">
        <f aca="false">ROUND(20*Q28*POWER(1.1,Q28),0)</f>
        <v>4728</v>
      </c>
      <c r="U28" s="9" t="n">
        <f aca="false">ROUND(225*POWER(1.5,Q28-1),0)</f>
        <v>2525117</v>
      </c>
      <c r="V28" s="9" t="n">
        <f aca="false">ROUND(75*POWER(1.5,Q28-1),0)</f>
        <v>841706</v>
      </c>
      <c r="W28" s="10" t="n">
        <f aca="false">(U28*Parametres!$B$10+V28*Parametres!$B$11)/(S28*Parametres!$B$12)/24</f>
        <v>36.007262909727</v>
      </c>
      <c r="Y28" s="8" t="n">
        <v>24</v>
      </c>
      <c r="Z28" s="9" t="n">
        <f aca="false">ROUND(20*Y28*POWER(1.1,Y28),0)</f>
        <v>4728</v>
      </c>
      <c r="AA28" s="9" t="n">
        <f aca="false">ROUND(75*POWER(1.5,Y28-1),0)</f>
        <v>841706</v>
      </c>
      <c r="AB28" s="9" t="n">
        <f aca="false">ROUND(30*POWER(1.5,Y28-1),0)</f>
        <v>336682</v>
      </c>
    </row>
    <row r="29" customFormat="false" ht="15" hidden="false" customHeight="false" outlineLevel="0" collapsed="false">
      <c r="A29" s="8" t="n">
        <v>25</v>
      </c>
      <c r="B29" s="9" t="n">
        <f aca="false">ROUND(30*A29*POWER(1.1,A29)*Parametres!$B$4,0)</f>
        <v>32504</v>
      </c>
      <c r="C29" s="9" t="n">
        <f aca="false">B29-ROUND(30*(A29-1)*POWER(1.1,A29-1)*Parametres!$B$4,0)</f>
        <v>4137</v>
      </c>
      <c r="D29" s="9" t="n">
        <f aca="false">ROUND(10*A29*POWER(1.1,A29),0)</f>
        <v>2709</v>
      </c>
      <c r="E29" s="9" t="n">
        <f aca="false">ROUND(60*POWER(1.5,A29-1),0)</f>
        <v>1010047</v>
      </c>
      <c r="F29" s="9" t="n">
        <f aca="false">ROUND(15*POWER(1.5,A29-1),0)</f>
        <v>252512</v>
      </c>
      <c r="G29" s="10" t="n">
        <f aca="false">(E29*Parametres!$B$10+F29*Parametres!$B$11)/(C29*Parametres!$B$10)/24</f>
        <v>13.987742728225</v>
      </c>
      <c r="I29" s="8" t="n">
        <v>25</v>
      </c>
      <c r="J29" s="9" t="n">
        <f aca="false">ROUND(20*I29*POWER(1.1,I29)*Parametres!$B$4,0)</f>
        <v>21669</v>
      </c>
      <c r="K29" s="9" t="n">
        <f aca="false">J29-ROUND(20*(I29-1)*POWER(1.1,I29-1)*Parametres!$B$4,0)</f>
        <v>2758</v>
      </c>
      <c r="L29" s="9" t="n">
        <f aca="false">ROUND(10*I29*POWER(1.1,I29),0)</f>
        <v>2709</v>
      </c>
      <c r="M29" s="9" t="n">
        <f aca="false">ROUND(48*POWER(1.6,I29-1),0)</f>
        <v>3802952</v>
      </c>
      <c r="N29" s="9" t="n">
        <f aca="false">ROUND(24*POWER(1.6,I29-1),0)</f>
        <v>1901476</v>
      </c>
      <c r="O29" s="10" t="n">
        <f aca="false">(M29*Parametres!$B$10+N29*Parametres!$B$11)/(K29*Parametres!$B$11)/24</f>
        <v>67.0289058093627</v>
      </c>
      <c r="Q29" s="8" t="n">
        <v>25</v>
      </c>
      <c r="R29" s="9" t="n">
        <f aca="false">ROUND(10*Q29*POWER(1.1,Q29)*Parametres!$B$4*Parametres!$B$13,0)</f>
        <v>13002</v>
      </c>
      <c r="S29" s="9" t="n">
        <f aca="false">R29-ROUND(10*(Q29-1)*POWER(1.1,Q29-1)*Parametres!$B$4*Parametres!$B$13,0)</f>
        <v>1655</v>
      </c>
      <c r="T29" s="9" t="n">
        <f aca="false">ROUND(20*Q29*POWER(1.1,Q29),0)</f>
        <v>5417</v>
      </c>
      <c r="U29" s="9" t="n">
        <f aca="false">ROUND(225*POWER(1.5,Q29-1),0)</f>
        <v>3787675</v>
      </c>
      <c r="V29" s="9" t="n">
        <f aca="false">ROUND(75*POWER(1.5,Q29-1),0)</f>
        <v>1262558</v>
      </c>
      <c r="W29" s="10" t="n">
        <f aca="false">(U29*Parametres!$B$10+V29*Parametres!$B$11)/(S29*Parametres!$B$12)/24</f>
        <v>47.6796911715341</v>
      </c>
      <c r="Y29" s="8" t="n">
        <v>25</v>
      </c>
      <c r="Z29" s="9" t="n">
        <f aca="false">ROUND(20*Y29*POWER(1.1,Y29),0)</f>
        <v>5417</v>
      </c>
      <c r="AA29" s="9" t="n">
        <f aca="false">ROUND(75*POWER(1.5,Y29-1),0)</f>
        <v>1262558</v>
      </c>
      <c r="AB29" s="9" t="n">
        <f aca="false">ROUND(30*POWER(1.5,Y29-1),0)</f>
        <v>505023</v>
      </c>
    </row>
    <row r="30" customFormat="false" ht="15" hidden="false" customHeight="false" outlineLevel="0" collapsed="false">
      <c r="A30" s="8" t="n">
        <v>26</v>
      </c>
      <c r="B30" s="9" t="n">
        <f aca="false">ROUND(30*A30*POWER(1.1,A30)*Parametres!$B$4,0)</f>
        <v>37185</v>
      </c>
      <c r="C30" s="9" t="n">
        <f aca="false">B30-ROUND(30*(A30-1)*POWER(1.1,A30-1)*Parametres!$B$4,0)</f>
        <v>4681</v>
      </c>
      <c r="D30" s="9" t="n">
        <f aca="false">ROUND(10*A30*POWER(1.1,A30),0)</f>
        <v>3099</v>
      </c>
      <c r="E30" s="9" t="n">
        <f aca="false">ROUND(60*POWER(1.5,A30-1),0)</f>
        <v>1515070</v>
      </c>
      <c r="F30" s="9" t="n">
        <f aca="false">ROUND(15*POWER(1.5,A30-1),0)</f>
        <v>378768</v>
      </c>
      <c r="G30" s="10" t="n">
        <f aca="false">(E30*Parametres!$B$10+F30*Parametres!$B$11)/(C30*Parametres!$B$10)/24</f>
        <v>18.5432421847184</v>
      </c>
      <c r="I30" s="8" t="n">
        <v>26</v>
      </c>
      <c r="J30" s="9" t="n">
        <f aca="false">ROUND(20*I30*POWER(1.1,I30)*Parametres!$B$4,0)</f>
        <v>24790</v>
      </c>
      <c r="K30" s="9" t="n">
        <f aca="false">J30-ROUND(20*(I30-1)*POWER(1.1,I30-1)*Parametres!$B$4,0)</f>
        <v>3121</v>
      </c>
      <c r="L30" s="9" t="n">
        <f aca="false">ROUND(10*I30*POWER(1.1,I30),0)</f>
        <v>3099</v>
      </c>
      <c r="M30" s="9" t="n">
        <f aca="false">ROUND(48*POWER(1.6,I30-1),0)</f>
        <v>6084723</v>
      </c>
      <c r="N30" s="9" t="n">
        <f aca="false">ROUND(24*POWER(1.6,I30-1),0)</f>
        <v>3042361</v>
      </c>
      <c r="O30" s="10" t="n">
        <f aca="false">(M30*Parametres!$B$10+N30*Parametres!$B$11)/(K30*Parametres!$B$11)/24</f>
        <v>94.7725488625441</v>
      </c>
      <c r="Q30" s="8" t="n">
        <v>26</v>
      </c>
      <c r="R30" s="9" t="n">
        <f aca="false">ROUND(10*Q30*POWER(1.1,Q30)*Parametres!$B$4*Parametres!$B$13,0)</f>
        <v>14874</v>
      </c>
      <c r="S30" s="9" t="n">
        <f aca="false">R30-ROUND(10*(Q30-1)*POWER(1.1,Q30-1)*Parametres!$B$4*Parametres!$B$13,0)</f>
        <v>1872</v>
      </c>
      <c r="T30" s="9" t="n">
        <f aca="false">ROUND(20*Q30*POWER(1.1,Q30),0)</f>
        <v>6197</v>
      </c>
      <c r="U30" s="9" t="n">
        <f aca="false">ROUND(225*POWER(1.5,Q30-1),0)</f>
        <v>5681513</v>
      </c>
      <c r="V30" s="9" t="n">
        <f aca="false">ROUND(75*POWER(1.5,Q30-1),0)</f>
        <v>1893838</v>
      </c>
      <c r="W30" s="10" t="n">
        <f aca="false">(U30*Parametres!$B$10+V30*Parametres!$B$11)/(S30*Parametres!$B$12)/24</f>
        <v>63.2290924738841</v>
      </c>
      <c r="Y30" s="8" t="n">
        <v>26</v>
      </c>
      <c r="Z30" s="9" t="n">
        <f aca="false">ROUND(20*Y30*POWER(1.1,Y30),0)</f>
        <v>6197</v>
      </c>
      <c r="AA30" s="9" t="n">
        <f aca="false">ROUND(75*POWER(1.5,Y30-1),0)</f>
        <v>1893838</v>
      </c>
      <c r="AB30" s="9" t="n">
        <f aca="false">ROUND(30*POWER(1.5,Y30-1),0)</f>
        <v>757535</v>
      </c>
    </row>
    <row r="31" customFormat="false" ht="15" hidden="false" customHeight="false" outlineLevel="0" collapsed="false">
      <c r="A31" s="8" t="n">
        <v>27</v>
      </c>
      <c r="B31" s="9" t="n">
        <f aca="false">ROUND(30*A31*POWER(1.1,A31)*Parametres!$B$4,0)</f>
        <v>42476</v>
      </c>
      <c r="C31" s="9" t="n">
        <f aca="false">B31-ROUND(30*(A31-1)*POWER(1.1,A31-1)*Parametres!$B$4,0)</f>
        <v>5291</v>
      </c>
      <c r="D31" s="9" t="n">
        <f aca="false">ROUND(10*A31*POWER(1.1,A31),0)</f>
        <v>3540</v>
      </c>
      <c r="E31" s="9" t="n">
        <f aca="false">ROUND(60*POWER(1.5,A31-1),0)</f>
        <v>2272605</v>
      </c>
      <c r="F31" s="9" t="n">
        <f aca="false">ROUND(15*POWER(1.5,A31-1),0)</f>
        <v>568151</v>
      </c>
      <c r="G31" s="10" t="n">
        <f aca="false">(E31*Parametres!$B$10+F31*Parametres!$B$11)/(C31*Parametres!$B$10)/24</f>
        <v>24.6080726705727</v>
      </c>
      <c r="I31" s="8" t="n">
        <v>27</v>
      </c>
      <c r="J31" s="9" t="n">
        <f aca="false">ROUND(20*I31*POWER(1.1,I31)*Parametres!$B$4,0)</f>
        <v>28318</v>
      </c>
      <c r="K31" s="9" t="n">
        <f aca="false">J31-ROUND(20*(I31-1)*POWER(1.1,I31-1)*Parametres!$B$4,0)</f>
        <v>3528</v>
      </c>
      <c r="L31" s="9" t="n">
        <f aca="false">ROUND(10*I31*POWER(1.1,I31),0)</f>
        <v>3540</v>
      </c>
      <c r="M31" s="9" t="n">
        <f aca="false">ROUND(48*POWER(1.6,I31-1),0)</f>
        <v>9735557</v>
      </c>
      <c r="N31" s="9" t="n">
        <f aca="false">ROUND(24*POWER(1.6,I31-1),0)</f>
        <v>4867778</v>
      </c>
      <c r="O31" s="10" t="n">
        <f aca="false">(M31*Parametres!$B$10+N31*Parametres!$B$11)/(K31*Parametres!$B$11)/24</f>
        <v>134.142920131015</v>
      </c>
      <c r="Q31" s="8" t="n">
        <v>27</v>
      </c>
      <c r="R31" s="9" t="n">
        <f aca="false">ROUND(10*Q31*POWER(1.1,Q31)*Parametres!$B$4*Parametres!$B$13,0)</f>
        <v>16991</v>
      </c>
      <c r="S31" s="9" t="n">
        <f aca="false">R31-ROUND(10*(Q31-1)*POWER(1.1,Q31-1)*Parametres!$B$4*Parametres!$B$13,0)</f>
        <v>2117</v>
      </c>
      <c r="T31" s="9" t="n">
        <f aca="false">ROUND(20*Q31*POWER(1.1,Q31),0)</f>
        <v>7079</v>
      </c>
      <c r="U31" s="9" t="n">
        <f aca="false">ROUND(225*POWER(1.5,Q31-1),0)</f>
        <v>8522269</v>
      </c>
      <c r="V31" s="9" t="n">
        <f aca="false">ROUND(75*POWER(1.5,Q31-1),0)</f>
        <v>2840756</v>
      </c>
      <c r="W31" s="10" t="n">
        <f aca="false">(U31*Parametres!$B$10+V31*Parametres!$B$11)/(S31*Parametres!$B$12)/24</f>
        <v>83.8673896499239</v>
      </c>
      <c r="Y31" s="8" t="n">
        <v>27</v>
      </c>
      <c r="Z31" s="9" t="n">
        <f aca="false">ROUND(20*Y31*POWER(1.1,Y31),0)</f>
        <v>7079</v>
      </c>
      <c r="AA31" s="9" t="n">
        <f aca="false">ROUND(75*POWER(1.5,Y31-1),0)</f>
        <v>2840756</v>
      </c>
      <c r="AB31" s="9" t="n">
        <f aca="false">ROUND(30*POWER(1.5,Y31-1),0)</f>
        <v>1136303</v>
      </c>
    </row>
    <row r="32" customFormat="false" ht="15" hidden="false" customHeight="false" outlineLevel="0" collapsed="false">
      <c r="A32" s="8" t="n">
        <v>28</v>
      </c>
      <c r="B32" s="9" t="n">
        <f aca="false">ROUND(30*A32*POWER(1.1,A32)*Parametres!$B$4,0)</f>
        <v>48455</v>
      </c>
      <c r="C32" s="9" t="n">
        <f aca="false">B32-ROUND(30*(A32-1)*POWER(1.1,A32-1)*Parametres!$B$4,0)</f>
        <v>5979</v>
      </c>
      <c r="D32" s="9" t="n">
        <f aca="false">ROUND(10*A32*POWER(1.1,A32),0)</f>
        <v>4038</v>
      </c>
      <c r="E32" s="9" t="n">
        <f aca="false">ROUND(60*POWER(1.5,A32-1),0)</f>
        <v>3408908</v>
      </c>
      <c r="F32" s="9" t="n">
        <f aca="false">ROUND(15*POWER(1.5,A32-1),0)</f>
        <v>852227</v>
      </c>
      <c r="G32" s="10" t="n">
        <f aca="false">(E32*Parametres!$B$10+F32*Parametres!$B$11)/(C32*Parametres!$B$10)/24</f>
        <v>32.6646631264983</v>
      </c>
      <c r="I32" s="8" t="n">
        <v>28</v>
      </c>
      <c r="J32" s="9" t="n">
        <f aca="false">ROUND(20*I32*POWER(1.1,I32)*Parametres!$B$4,0)</f>
        <v>32303</v>
      </c>
      <c r="K32" s="9" t="n">
        <f aca="false">J32-ROUND(20*(I32-1)*POWER(1.1,I32-1)*Parametres!$B$4,0)</f>
        <v>3985</v>
      </c>
      <c r="L32" s="9" t="n">
        <f aca="false">ROUND(10*I32*POWER(1.1,I32),0)</f>
        <v>4038</v>
      </c>
      <c r="M32" s="9" t="n">
        <f aca="false">ROUND(48*POWER(1.6,I32-1),0)</f>
        <v>15576891</v>
      </c>
      <c r="N32" s="9" t="n">
        <f aca="false">ROUND(24*POWER(1.6,I32-1),0)</f>
        <v>7788445</v>
      </c>
      <c r="O32" s="10" t="n">
        <f aca="false">(M32*Parametres!$B$10+N32*Parametres!$B$11)/(K32*Parametres!$B$11)/24</f>
        <v>190.015046005855</v>
      </c>
      <c r="Q32" s="8" t="n">
        <v>28</v>
      </c>
      <c r="R32" s="9" t="n">
        <f aca="false">ROUND(10*Q32*POWER(1.1,Q32)*Parametres!$B$4*Parametres!$B$13,0)</f>
        <v>19382</v>
      </c>
      <c r="S32" s="9" t="n">
        <f aca="false">R32-ROUND(10*(Q32-1)*POWER(1.1,Q32-1)*Parametres!$B$4*Parametres!$B$13,0)</f>
        <v>2391</v>
      </c>
      <c r="T32" s="9" t="n">
        <f aca="false">ROUND(20*Q32*POWER(1.1,Q32),0)</f>
        <v>8076</v>
      </c>
      <c r="U32" s="9" t="n">
        <f aca="false">ROUND(225*POWER(1.5,Q32-1),0)</f>
        <v>12783404</v>
      </c>
      <c r="V32" s="9" t="n">
        <f aca="false">ROUND(75*POWER(1.5,Q32-1),0)</f>
        <v>4261135</v>
      </c>
      <c r="W32" s="10" t="n">
        <f aca="false">(U32*Parametres!$B$10+V32*Parametres!$B$11)/(S32*Parametres!$B$12)/24</f>
        <v>111.384744295739</v>
      </c>
      <c r="Y32" s="8" t="n">
        <v>28</v>
      </c>
      <c r="Z32" s="9" t="n">
        <f aca="false">ROUND(20*Y32*POWER(1.1,Y32),0)</f>
        <v>8076</v>
      </c>
      <c r="AA32" s="9" t="n">
        <f aca="false">ROUND(75*POWER(1.5,Y32-1),0)</f>
        <v>4261135</v>
      </c>
      <c r="AB32" s="9" t="n">
        <f aca="false">ROUND(30*POWER(1.5,Y32-1),0)</f>
        <v>1704454</v>
      </c>
    </row>
    <row r="33" customFormat="false" ht="15" hidden="false" customHeight="false" outlineLevel="0" collapsed="false">
      <c r="A33" s="8" t="n">
        <v>29</v>
      </c>
      <c r="B33" s="9" t="n">
        <f aca="false">ROUND(30*A33*POWER(1.1,A33)*Parametres!$B$4,0)</f>
        <v>55204</v>
      </c>
      <c r="C33" s="9" t="n">
        <f aca="false">B33-ROUND(30*(A33-1)*POWER(1.1,A33-1)*Parametres!$B$4,0)</f>
        <v>6749</v>
      </c>
      <c r="D33" s="9" t="n">
        <f aca="false">ROUND(10*A33*POWER(1.1,A33),0)</f>
        <v>4600</v>
      </c>
      <c r="E33" s="9" t="n">
        <f aca="false">ROUND(60*POWER(1.5,A33-1),0)</f>
        <v>5113362</v>
      </c>
      <c r="F33" s="9" t="n">
        <f aca="false">ROUND(15*POWER(1.5,A33-1),0)</f>
        <v>1278340</v>
      </c>
      <c r="G33" s="10" t="n">
        <f aca="false">(E33*Parametres!$B$10+F33*Parametres!$B$11)/(C33*Parametres!$B$10)/24</f>
        <v>43.4068750926063</v>
      </c>
      <c r="I33" s="8" t="n">
        <v>29</v>
      </c>
      <c r="J33" s="9" t="n">
        <f aca="false">ROUND(20*I33*POWER(1.1,I33)*Parametres!$B$4,0)</f>
        <v>36802</v>
      </c>
      <c r="K33" s="9" t="n">
        <f aca="false">J33-ROUND(20*(I33-1)*POWER(1.1,I33-1)*Parametres!$B$4,0)</f>
        <v>4499</v>
      </c>
      <c r="L33" s="9" t="n">
        <f aca="false">ROUND(10*I33*POWER(1.1,I33),0)</f>
        <v>4600</v>
      </c>
      <c r="M33" s="9" t="n">
        <f aca="false">ROUND(48*POWER(1.6,I33-1),0)</f>
        <v>24923025</v>
      </c>
      <c r="N33" s="9" t="n">
        <f aca="false">ROUND(24*POWER(1.6,I33-1),0)</f>
        <v>12461512</v>
      </c>
      <c r="O33" s="10" t="n">
        <f aca="false">(M33*Parametres!$B$10+N33*Parametres!$B$11)/(K33*Parametres!$B$11)/24</f>
        <v>269.290045936134</v>
      </c>
      <c r="Q33" s="8" t="n">
        <v>29</v>
      </c>
      <c r="R33" s="9" t="n">
        <f aca="false">ROUND(10*Q33*POWER(1.1,Q33)*Parametres!$B$4*Parametres!$B$13,0)</f>
        <v>22081</v>
      </c>
      <c r="S33" s="9" t="n">
        <f aca="false">R33-ROUND(10*(Q33-1)*POWER(1.1,Q33-1)*Parametres!$B$4*Parametres!$B$13,0)</f>
        <v>2699</v>
      </c>
      <c r="T33" s="9" t="n">
        <f aca="false">ROUND(20*Q33*POWER(1.1,Q33),0)</f>
        <v>9201</v>
      </c>
      <c r="U33" s="9" t="n">
        <f aca="false">ROUND(225*POWER(1.5,Q33-1),0)</f>
        <v>19175106</v>
      </c>
      <c r="V33" s="9" t="n">
        <f aca="false">ROUND(75*POWER(1.5,Q33-1),0)</f>
        <v>6391702</v>
      </c>
      <c r="W33" s="10" t="n">
        <f aca="false">(U33*Parametres!$B$10+V33*Parametres!$B$11)/(S33*Parametres!$B$12)/24</f>
        <v>148.010883660615</v>
      </c>
      <c r="Y33" s="8" t="n">
        <v>29</v>
      </c>
      <c r="Z33" s="9" t="n">
        <f aca="false">ROUND(20*Y33*POWER(1.1,Y33),0)</f>
        <v>9201</v>
      </c>
      <c r="AA33" s="9" t="n">
        <f aca="false">ROUND(75*POWER(1.5,Y33-1),0)</f>
        <v>6391702</v>
      </c>
      <c r="AB33" s="9" t="n">
        <f aca="false">ROUND(30*POWER(1.5,Y33-1),0)</f>
        <v>2556681</v>
      </c>
    </row>
    <row r="34" customFormat="false" ht="15" hidden="false" customHeight="false" outlineLevel="0" collapsed="false">
      <c r="A34" s="8" t="n">
        <v>30</v>
      </c>
      <c r="B34" s="9" t="n">
        <f aca="false">ROUND(30*A34*POWER(1.1,A34)*Parametres!$B$4,0)</f>
        <v>62818</v>
      </c>
      <c r="C34" s="9" t="n">
        <f aca="false">B34-ROUND(30*(A34-1)*POWER(1.1,A34-1)*Parametres!$B$4,0)</f>
        <v>7614</v>
      </c>
      <c r="D34" s="9" t="n">
        <f aca="false">ROUND(10*A34*POWER(1.1,A34),0)</f>
        <v>5235</v>
      </c>
      <c r="E34" s="9" t="n">
        <f aca="false">ROUND(60*POWER(1.5,A34-1),0)</f>
        <v>7670042</v>
      </c>
      <c r="F34" s="9" t="n">
        <f aca="false">ROUND(15*POWER(1.5,A34-1),0)</f>
        <v>1917511</v>
      </c>
      <c r="G34" s="10" t="n">
        <f aca="false">(E34*Parametres!$B$10+F34*Parametres!$B$11)/(C34*Parametres!$B$10)/24</f>
        <v>57.713359710183</v>
      </c>
      <c r="I34" s="8" t="n">
        <v>30</v>
      </c>
      <c r="J34" s="9" t="n">
        <f aca="false">ROUND(20*I34*POWER(1.1,I34)*Parametres!$B$4,0)</f>
        <v>41879</v>
      </c>
      <c r="K34" s="9" t="n">
        <f aca="false">J34-ROUND(20*(I34-1)*POWER(1.1,I34-1)*Parametres!$B$4,0)</f>
        <v>5077</v>
      </c>
      <c r="L34" s="9" t="n">
        <f aca="false">ROUND(10*I34*POWER(1.1,I34),0)</f>
        <v>5235</v>
      </c>
      <c r="M34" s="9" t="n">
        <f aca="false">ROUND(48*POWER(1.6,I34-1),0)</f>
        <v>39876840</v>
      </c>
      <c r="N34" s="9" t="n">
        <f aca="false">ROUND(24*POWER(1.6,I34-1),0)</f>
        <v>19938420</v>
      </c>
      <c r="O34" s="10" t="n">
        <f aca="false">(M34*Parametres!$B$10+N34*Parametres!$B$11)/(K34*Parametres!$B$11)/24</f>
        <v>381.811601339374</v>
      </c>
      <c r="Q34" s="8" t="n">
        <v>30</v>
      </c>
      <c r="R34" s="9" t="n">
        <f aca="false">ROUND(10*Q34*POWER(1.1,Q34)*Parametres!$B$4*Parametres!$B$13,0)</f>
        <v>25127</v>
      </c>
      <c r="S34" s="9" t="n">
        <f aca="false">R34-ROUND(10*(Q34-1)*POWER(1.1,Q34-1)*Parametres!$B$4*Parametres!$B$13,0)</f>
        <v>3046</v>
      </c>
      <c r="T34" s="9" t="n">
        <f aca="false">ROUND(20*Q34*POWER(1.1,Q34),0)</f>
        <v>10470</v>
      </c>
      <c r="U34" s="9" t="n">
        <f aca="false">ROUND(225*POWER(1.5,Q34-1),0)</f>
        <v>28762659</v>
      </c>
      <c r="V34" s="9" t="n">
        <f aca="false">ROUND(75*POWER(1.5,Q34-1),0)</f>
        <v>9587553</v>
      </c>
      <c r="W34" s="10" t="n">
        <f aca="false">(U34*Parametres!$B$10+V34*Parametres!$B$11)/(S34*Parametres!$B$12)/24</f>
        <v>196.724249015102</v>
      </c>
      <c r="Y34" s="8" t="n">
        <v>30</v>
      </c>
      <c r="Z34" s="9" t="n">
        <f aca="false">ROUND(20*Y34*POWER(1.1,Y34),0)</f>
        <v>10470</v>
      </c>
      <c r="AA34" s="9" t="n">
        <f aca="false">ROUND(75*POWER(1.5,Y34-1),0)</f>
        <v>9587553</v>
      </c>
      <c r="AB34" s="9" t="n">
        <f aca="false">ROUND(30*POWER(1.5,Y34-1),0)</f>
        <v>3835021</v>
      </c>
    </row>
    <row r="35" customFormat="false" ht="15" hidden="false" customHeight="false" outlineLevel="0" collapsed="false">
      <c r="A35" s="8" t="n">
        <v>31</v>
      </c>
      <c r="B35" s="9" t="n">
        <f aca="false">ROUND(30*A35*POWER(1.1,A35)*Parametres!$B$4,0)</f>
        <v>71403</v>
      </c>
      <c r="C35" s="9" t="n">
        <f aca="false">B35-ROUND(30*(A35-1)*POWER(1.1,A35-1)*Parametres!$B$4,0)</f>
        <v>8585</v>
      </c>
      <c r="D35" s="9" t="n">
        <f aca="false">ROUND(10*A35*POWER(1.1,A35),0)</f>
        <v>5950</v>
      </c>
      <c r="E35" s="9" t="n">
        <f aca="false">ROUND(60*POWER(1.5,A35-1),0)</f>
        <v>11505064</v>
      </c>
      <c r="F35" s="9" t="n">
        <f aca="false">ROUND(15*POWER(1.5,A35-1),0)</f>
        <v>2876266</v>
      </c>
      <c r="G35" s="10" t="n">
        <f aca="false">(E35*Parametres!$B$10+F35*Parametres!$B$11)/(C35*Parametres!$B$10)/24</f>
        <v>76.7786012424772</v>
      </c>
      <c r="I35" s="8" t="n">
        <v>31</v>
      </c>
      <c r="J35" s="9" t="n">
        <f aca="false">ROUND(20*I35*POWER(1.1,I35)*Parametres!$B$4,0)</f>
        <v>47602</v>
      </c>
      <c r="K35" s="9" t="n">
        <f aca="false">J35-ROUND(20*(I35-1)*POWER(1.1,I35-1)*Parametres!$B$4,0)</f>
        <v>5723</v>
      </c>
      <c r="L35" s="9" t="n">
        <f aca="false">ROUND(10*I35*POWER(1.1,I35),0)</f>
        <v>5950</v>
      </c>
      <c r="M35" s="9" t="n">
        <f aca="false">ROUND(48*POWER(1.6,I35-1),0)</f>
        <v>63802944</v>
      </c>
      <c r="N35" s="9" t="n">
        <f aca="false">ROUND(24*POWER(1.6,I35-1),0)</f>
        <v>31901472</v>
      </c>
      <c r="O35" s="10" t="n">
        <f aca="false">(M35*Parametres!$B$10+N35*Parametres!$B$11)/(K35*Parametres!$B$11)/24</f>
        <v>541.941639000524</v>
      </c>
      <c r="Q35" s="8" t="n">
        <v>31</v>
      </c>
      <c r="R35" s="9" t="n">
        <f aca="false">ROUND(10*Q35*POWER(1.1,Q35)*Parametres!$B$4*Parametres!$B$13,0)</f>
        <v>28561</v>
      </c>
      <c r="S35" s="9" t="n">
        <f aca="false">R35-ROUND(10*(Q35-1)*POWER(1.1,Q35-1)*Parametres!$B$4*Parametres!$B$13,0)</f>
        <v>3434</v>
      </c>
      <c r="T35" s="9" t="n">
        <f aca="false">ROUND(20*Q35*POWER(1.1,Q35),0)</f>
        <v>11900</v>
      </c>
      <c r="U35" s="9" t="n">
        <f aca="false">ROUND(225*POWER(1.5,Q35-1),0)</f>
        <v>43143988</v>
      </c>
      <c r="V35" s="9" t="n">
        <f aca="false">ROUND(75*POWER(1.5,Q35-1),0)</f>
        <v>14381329</v>
      </c>
      <c r="W35" s="10" t="n">
        <f aca="false">(U35*Parametres!$B$10+V35*Parametres!$B$11)/(S35*Parametres!$B$12)/24</f>
        <v>261.745217352618</v>
      </c>
      <c r="Y35" s="8" t="n">
        <v>31</v>
      </c>
      <c r="Z35" s="9" t="n">
        <f aca="false">ROUND(20*Y35*POWER(1.1,Y35),0)</f>
        <v>11900</v>
      </c>
      <c r="AA35" s="9" t="n">
        <f aca="false">ROUND(75*POWER(1.5,Y35-1),0)</f>
        <v>14381329</v>
      </c>
      <c r="AB35" s="9" t="n">
        <f aca="false">ROUND(30*POWER(1.5,Y35-1),0)</f>
        <v>5752532</v>
      </c>
    </row>
    <row r="36" customFormat="false" ht="15" hidden="false" customHeight="false" outlineLevel="0" collapsed="false">
      <c r="A36" s="8" t="n">
        <v>32</v>
      </c>
      <c r="B36" s="9" t="n">
        <f aca="false">ROUND(30*A36*POWER(1.1,A36)*Parametres!$B$4,0)</f>
        <v>81077</v>
      </c>
      <c r="C36" s="9" t="n">
        <f aca="false">B36-ROUND(30*(A36-1)*POWER(1.1,A36-1)*Parametres!$B$4,0)</f>
        <v>9674</v>
      </c>
      <c r="D36" s="9" t="n">
        <f aca="false">ROUND(10*A36*POWER(1.1,A36),0)</f>
        <v>6756</v>
      </c>
      <c r="E36" s="9" t="n">
        <f aca="false">ROUND(60*POWER(1.5,A36-1),0)</f>
        <v>17257595</v>
      </c>
      <c r="F36" s="9" t="n">
        <f aca="false">ROUND(15*POWER(1.5,A36-1),0)</f>
        <v>4314399</v>
      </c>
      <c r="G36" s="10" t="n">
        <f aca="false">(E36*Parametres!$B$10+F36*Parametres!$B$11)/(C36*Parametres!$B$10)/24</f>
        <v>102.203472796499</v>
      </c>
      <c r="I36" s="8" t="n">
        <v>32</v>
      </c>
      <c r="J36" s="9" t="n">
        <f aca="false">ROUND(20*I36*POWER(1.1,I36)*Parametres!$B$4,0)</f>
        <v>54051</v>
      </c>
      <c r="K36" s="9" t="n">
        <f aca="false">J36-ROUND(20*(I36-1)*POWER(1.1,I36-1)*Parametres!$B$4,0)</f>
        <v>6449</v>
      </c>
      <c r="L36" s="9" t="n">
        <f aca="false">ROUND(10*I36*POWER(1.1,I36),0)</f>
        <v>6756</v>
      </c>
      <c r="M36" s="9" t="n">
        <f aca="false">ROUND(48*POWER(1.6,I36-1),0)</f>
        <v>102084710</v>
      </c>
      <c r="N36" s="9" t="n">
        <f aca="false">ROUND(24*POWER(1.6,I36-1),0)</f>
        <v>51042355</v>
      </c>
      <c r="O36" s="10" t="n">
        <f aca="false">(M36*Parametres!$B$10+N36*Parametres!$B$11)/(K36*Parametres!$B$11)/24</f>
        <v>769.491577074827</v>
      </c>
      <c r="Q36" s="8" t="n">
        <v>32</v>
      </c>
      <c r="R36" s="9" t="n">
        <f aca="false">ROUND(10*Q36*POWER(1.1,Q36)*Parametres!$B$4*Parametres!$B$13,0)</f>
        <v>32431</v>
      </c>
      <c r="S36" s="9" t="n">
        <f aca="false">R36-ROUND(10*(Q36-1)*POWER(1.1,Q36-1)*Parametres!$B$4*Parametres!$B$13,0)</f>
        <v>3870</v>
      </c>
      <c r="T36" s="9" t="n">
        <f aca="false">ROUND(20*Q36*POWER(1.1,Q36),0)</f>
        <v>13513</v>
      </c>
      <c r="U36" s="9" t="n">
        <f aca="false">ROUND(225*POWER(1.5,Q36-1),0)</f>
        <v>64715982</v>
      </c>
      <c r="V36" s="9" t="n">
        <f aca="false">ROUND(75*POWER(1.5,Q36-1),0)</f>
        <v>21571994</v>
      </c>
      <c r="W36" s="10" t="n">
        <f aca="false">(U36*Parametres!$B$10+V36*Parametres!$B$11)/(S36*Parametres!$B$12)/24</f>
        <v>348.384916020672</v>
      </c>
      <c r="Y36" s="8" t="n">
        <v>32</v>
      </c>
      <c r="Z36" s="9" t="n">
        <f aca="false">ROUND(20*Y36*POWER(1.1,Y36),0)</f>
        <v>13513</v>
      </c>
      <c r="AA36" s="9" t="n">
        <f aca="false">ROUND(75*POWER(1.5,Y36-1),0)</f>
        <v>21571994</v>
      </c>
      <c r="AB36" s="9" t="n">
        <f aca="false">ROUND(30*POWER(1.5,Y36-1),0)</f>
        <v>8628798</v>
      </c>
    </row>
    <row r="37" customFormat="false" ht="15" hidden="false" customHeight="false" outlineLevel="0" collapsed="false">
      <c r="A37" s="8" t="n">
        <v>33</v>
      </c>
      <c r="B37" s="9" t="n">
        <f aca="false">ROUND(30*A37*POWER(1.1,A37)*Parametres!$B$4,0)</f>
        <v>91972</v>
      </c>
      <c r="C37" s="9" t="n">
        <f aca="false">B37-ROUND(30*(A37-1)*POWER(1.1,A37-1)*Parametres!$B$4,0)</f>
        <v>10895</v>
      </c>
      <c r="D37" s="9" t="n">
        <f aca="false">ROUND(10*A37*POWER(1.1,A37),0)</f>
        <v>7664</v>
      </c>
      <c r="E37" s="9" t="n">
        <f aca="false">ROUND(60*POWER(1.5,A37-1),0)</f>
        <v>25886393</v>
      </c>
      <c r="F37" s="9" t="n">
        <f aca="false">ROUND(15*POWER(1.5,A37-1),0)</f>
        <v>6471598</v>
      </c>
      <c r="G37" s="10" t="n">
        <f aca="false">(E37*Parametres!$B$10+F37*Parametres!$B$11)/(C37*Parametres!$B$10)/24</f>
        <v>136.124330732752</v>
      </c>
      <c r="I37" s="8" t="n">
        <v>33</v>
      </c>
      <c r="J37" s="9" t="n">
        <f aca="false">ROUND(20*I37*POWER(1.1,I37)*Parametres!$B$4,0)</f>
        <v>61314</v>
      </c>
      <c r="K37" s="9" t="n">
        <f aca="false">J37-ROUND(20*(I37-1)*POWER(1.1,I37-1)*Parametres!$B$4,0)</f>
        <v>7263</v>
      </c>
      <c r="L37" s="9" t="n">
        <f aca="false">ROUND(10*I37*POWER(1.1,I37),0)</f>
        <v>7664</v>
      </c>
      <c r="M37" s="9" t="n">
        <f aca="false">ROUND(48*POWER(1.6,I37-1),0)</f>
        <v>163335536</v>
      </c>
      <c r="N37" s="9" t="n">
        <f aca="false">ROUND(24*POWER(1.6,I37-1),0)</f>
        <v>81667768</v>
      </c>
      <c r="O37" s="10" t="n">
        <f aca="false">(M37*Parametres!$B$10+N37*Parametres!$B$11)/(K37*Parametres!$B$11)/24</f>
        <v>1093.20141661695</v>
      </c>
      <c r="Q37" s="8" t="n">
        <v>33</v>
      </c>
      <c r="R37" s="9" t="n">
        <f aca="false">ROUND(10*Q37*POWER(1.1,Q37)*Parametres!$B$4*Parametres!$B$13,0)</f>
        <v>36789</v>
      </c>
      <c r="S37" s="9" t="n">
        <f aca="false">R37-ROUND(10*(Q37-1)*POWER(1.1,Q37-1)*Parametres!$B$4*Parametres!$B$13,0)</f>
        <v>4358</v>
      </c>
      <c r="T37" s="9" t="n">
        <f aca="false">ROUND(20*Q37*POWER(1.1,Q37),0)</f>
        <v>15329</v>
      </c>
      <c r="U37" s="9" t="n">
        <f aca="false">ROUND(225*POWER(1.5,Q37-1),0)</f>
        <v>97073974</v>
      </c>
      <c r="V37" s="9" t="n">
        <f aca="false">ROUND(75*POWER(1.5,Q37-1),0)</f>
        <v>32357991</v>
      </c>
      <c r="W37" s="10" t="n">
        <f aca="false">(U37*Parametres!$B$10+V37*Parametres!$B$11)/(S37*Parametres!$B$12)/24</f>
        <v>464.060222897863</v>
      </c>
      <c r="Y37" s="8" t="n">
        <v>33</v>
      </c>
      <c r="Z37" s="9" t="n">
        <f aca="false">ROUND(20*Y37*POWER(1.1,Y37),0)</f>
        <v>15329</v>
      </c>
      <c r="AA37" s="9" t="n">
        <f aca="false">ROUND(75*POWER(1.5,Y37-1),0)</f>
        <v>32357991</v>
      </c>
      <c r="AB37" s="9" t="n">
        <f aca="false">ROUND(30*POWER(1.5,Y37-1),0)</f>
        <v>12943196</v>
      </c>
    </row>
    <row r="38" customFormat="false" ht="15" hidden="false" customHeight="false" outlineLevel="0" collapsed="false">
      <c r="A38" s="8" t="n">
        <v>34</v>
      </c>
      <c r="B38" s="9" t="n">
        <f aca="false">ROUND(30*A38*POWER(1.1,A38)*Parametres!$B$4,0)</f>
        <v>104234</v>
      </c>
      <c r="C38" s="9" t="n">
        <f aca="false">B38-ROUND(30*(A38-1)*POWER(1.1,A38-1)*Parametres!$B$4,0)</f>
        <v>12262</v>
      </c>
      <c r="D38" s="9" t="n">
        <f aca="false">ROUND(10*A38*POWER(1.1,A38),0)</f>
        <v>8686</v>
      </c>
      <c r="E38" s="9" t="n">
        <f aca="false">ROUND(60*POWER(1.5,A38-1),0)</f>
        <v>38829589</v>
      </c>
      <c r="F38" s="9" t="n">
        <f aca="false">ROUND(15*POWER(1.5,A38-1),0)</f>
        <v>9707397</v>
      </c>
      <c r="G38" s="10" t="n">
        <f aca="false">(E38*Parametres!$B$10+F38*Parametres!$B$11)/(C38*Parametres!$B$10)/24</f>
        <v>181.423246955363</v>
      </c>
      <c r="I38" s="8" t="n">
        <v>34</v>
      </c>
      <c r="J38" s="9" t="n">
        <f aca="false">ROUND(20*I38*POWER(1.1,I38)*Parametres!$B$4,0)</f>
        <v>69490</v>
      </c>
      <c r="K38" s="9" t="n">
        <f aca="false">J38-ROUND(20*(I38-1)*POWER(1.1,I38-1)*Parametres!$B$4,0)</f>
        <v>8176</v>
      </c>
      <c r="L38" s="9" t="n">
        <f aca="false">ROUND(10*I38*POWER(1.1,I38),0)</f>
        <v>8686</v>
      </c>
      <c r="M38" s="9" t="n">
        <f aca="false">ROUND(48*POWER(1.6,I38-1),0)</f>
        <v>261336858</v>
      </c>
      <c r="N38" s="9" t="n">
        <f aca="false">ROUND(24*POWER(1.6,I38-1),0)</f>
        <v>130668429</v>
      </c>
      <c r="O38" s="10" t="n">
        <f aca="false">(M38*Parametres!$B$10+N38*Parametres!$B$11)/(K38*Parametres!$B$11)/24</f>
        <v>1553.80076341324</v>
      </c>
      <c r="Q38" s="8" t="n">
        <v>34</v>
      </c>
      <c r="R38" s="9" t="n">
        <f aca="false">ROUND(10*Q38*POWER(1.1,Q38)*Parametres!$B$4*Parametres!$B$13,0)</f>
        <v>41694</v>
      </c>
      <c r="S38" s="9" t="n">
        <f aca="false">R38-ROUND(10*(Q38-1)*POWER(1.1,Q38-1)*Parametres!$B$4*Parametres!$B$13,0)</f>
        <v>4905</v>
      </c>
      <c r="T38" s="9" t="n">
        <f aca="false">ROUND(20*Q38*POWER(1.1,Q38),0)</f>
        <v>17372</v>
      </c>
      <c r="U38" s="9" t="n">
        <f aca="false">ROUND(225*POWER(1.5,Q38-1),0)</f>
        <v>145610961</v>
      </c>
      <c r="V38" s="9" t="n">
        <f aca="false">ROUND(75*POWER(1.5,Q38-1),0)</f>
        <v>48536987</v>
      </c>
      <c r="W38" s="10" t="n">
        <f aca="false">(U38*Parametres!$B$10+V38*Parametres!$B$11)/(S38*Parametres!$B$12)/24</f>
        <v>618.463137104995</v>
      </c>
      <c r="Y38" s="8" t="n">
        <v>34</v>
      </c>
      <c r="Z38" s="9" t="n">
        <f aca="false">ROUND(20*Y38*POWER(1.1,Y38),0)</f>
        <v>17372</v>
      </c>
      <c r="AA38" s="9" t="n">
        <f aca="false">ROUND(75*POWER(1.5,Y38-1),0)</f>
        <v>48536987</v>
      </c>
      <c r="AB38" s="9" t="n">
        <f aca="false">ROUND(30*POWER(1.5,Y38-1),0)</f>
        <v>19414795</v>
      </c>
    </row>
    <row r="39" customFormat="false" ht="15" hidden="false" customHeight="false" outlineLevel="0" collapsed="false">
      <c r="A39" s="8" t="n">
        <v>35</v>
      </c>
      <c r="B39" s="9" t="n">
        <f aca="false">ROUND(30*A39*POWER(1.1,A39)*Parametres!$B$4,0)</f>
        <v>118030</v>
      </c>
      <c r="C39" s="9" t="n">
        <f aca="false">B39-ROUND(30*(A39-1)*POWER(1.1,A39-1)*Parametres!$B$4,0)</f>
        <v>13796</v>
      </c>
      <c r="D39" s="9" t="n">
        <f aca="false">ROUND(10*A39*POWER(1.1,A39),0)</f>
        <v>9836</v>
      </c>
      <c r="E39" s="9" t="n">
        <f aca="false">ROUND(60*POWER(1.5,A39-1),0)</f>
        <v>58244384</v>
      </c>
      <c r="F39" s="9" t="n">
        <f aca="false">ROUND(15*POWER(1.5,A39-1),0)</f>
        <v>14561096</v>
      </c>
      <c r="G39" s="10" t="n">
        <f aca="false">(E39*Parametres!$B$10+F39*Parametres!$B$11)/(C39*Parametres!$B$10)/24</f>
        <v>241.875749009375</v>
      </c>
      <c r="I39" s="8" t="n">
        <v>35</v>
      </c>
      <c r="J39" s="9" t="n">
        <f aca="false">ROUND(20*I39*POWER(1.1,I39)*Parametres!$B$4,0)</f>
        <v>78687</v>
      </c>
      <c r="K39" s="9" t="n">
        <f aca="false">J39-ROUND(20*(I39-1)*POWER(1.1,I39-1)*Parametres!$B$4,0)</f>
        <v>9197</v>
      </c>
      <c r="L39" s="9" t="n">
        <f aca="false">ROUND(10*I39*POWER(1.1,I39),0)</f>
        <v>9836</v>
      </c>
      <c r="M39" s="9" t="n">
        <f aca="false">ROUND(48*POWER(1.6,I39-1),0)</f>
        <v>418138972</v>
      </c>
      <c r="N39" s="9" t="n">
        <f aca="false">ROUND(24*POWER(1.6,I39-1),0)</f>
        <v>209069486</v>
      </c>
      <c r="O39" s="10" t="n">
        <f aca="false">(M39*Parametres!$B$10+N39*Parametres!$B$11)/(K39*Parametres!$B$11)/24</f>
        <v>2210.09024983992</v>
      </c>
      <c r="Q39" s="8" t="n">
        <v>35</v>
      </c>
      <c r="R39" s="9" t="n">
        <f aca="false">ROUND(10*Q39*POWER(1.1,Q39)*Parametres!$B$4*Parametres!$B$13,0)</f>
        <v>47212</v>
      </c>
      <c r="S39" s="9" t="n">
        <f aca="false">R39-ROUND(10*(Q39-1)*POWER(1.1,Q39-1)*Parametres!$B$4*Parametres!$B$13,0)</f>
        <v>5518</v>
      </c>
      <c r="T39" s="9" t="n">
        <f aca="false">ROUND(20*Q39*POWER(1.1,Q39),0)</f>
        <v>19672</v>
      </c>
      <c r="U39" s="9" t="n">
        <f aca="false">ROUND(225*POWER(1.5,Q39-1),0)</f>
        <v>218416441</v>
      </c>
      <c r="V39" s="9" t="n">
        <f aca="false">ROUND(75*POWER(1.5,Q39-1),0)</f>
        <v>72805480</v>
      </c>
      <c r="W39" s="10" t="n">
        <f aca="false">(U39*Parametres!$B$10+V39*Parametres!$B$11)/(S39*Parametres!$B$12)/24</f>
        <v>824.636193165801</v>
      </c>
      <c r="Y39" s="8" t="n">
        <v>35</v>
      </c>
      <c r="Z39" s="9" t="n">
        <f aca="false">ROUND(20*Y39*POWER(1.1,Y39),0)</f>
        <v>19672</v>
      </c>
      <c r="AA39" s="9" t="n">
        <f aca="false">ROUND(75*POWER(1.5,Y39-1),0)</f>
        <v>72805480</v>
      </c>
      <c r="AB39" s="9" t="n">
        <f aca="false">ROUND(30*POWER(1.5,Y39-1),0)</f>
        <v>29122192</v>
      </c>
    </row>
    <row r="40" customFormat="false" ht="15" hidden="false" customHeight="false" outlineLevel="0" collapsed="false">
      <c r="A40" s="8" t="n">
        <v>36</v>
      </c>
      <c r="B40" s="9" t="n">
        <f aca="false">ROUND(30*A40*POWER(1.1,A40)*Parametres!$B$4,0)</f>
        <v>133543</v>
      </c>
      <c r="C40" s="9" t="n">
        <f aca="false">B40-ROUND(30*(A40-1)*POWER(1.1,A40-1)*Parametres!$B$4,0)</f>
        <v>15513</v>
      </c>
      <c r="D40" s="9" t="n">
        <f aca="false">ROUND(10*A40*POWER(1.1,A40),0)</f>
        <v>11129</v>
      </c>
      <c r="E40" s="9" t="n">
        <f aca="false">ROUND(60*POWER(1.5,A40-1),0)</f>
        <v>87366576</v>
      </c>
      <c r="F40" s="9" t="n">
        <f aca="false">ROUND(15*POWER(1.5,A40-1),0)</f>
        <v>21841644</v>
      </c>
      <c r="G40" s="10" t="n">
        <f aca="false">(E40*Parametres!$B$10+F40*Parametres!$B$11)/(C40*Parametres!$B$10)/24</f>
        <v>322.656916779475</v>
      </c>
      <c r="I40" s="8" t="n">
        <v>36</v>
      </c>
      <c r="J40" s="9" t="n">
        <f aca="false">ROUND(20*I40*POWER(1.1,I40)*Parametres!$B$4,0)</f>
        <v>89029</v>
      </c>
      <c r="K40" s="9" t="n">
        <f aca="false">J40-ROUND(20*(I40-1)*POWER(1.1,I40-1)*Parametres!$B$4,0)</f>
        <v>10342</v>
      </c>
      <c r="L40" s="9" t="n">
        <f aca="false">ROUND(10*I40*POWER(1.1,I40),0)</f>
        <v>11129</v>
      </c>
      <c r="M40" s="9" t="n">
        <f aca="false">ROUND(48*POWER(1.6,I40-1),0)</f>
        <v>669022356</v>
      </c>
      <c r="N40" s="9" t="n">
        <f aca="false">ROUND(24*POWER(1.6,I40-1),0)</f>
        <v>334511178</v>
      </c>
      <c r="O40" s="10" t="n">
        <f aca="false">(M40*Parametres!$B$10+N40*Parametres!$B$11)/(K40*Parametres!$B$11)/24</f>
        <v>3144.64514439502</v>
      </c>
      <c r="Q40" s="8" t="n">
        <v>36</v>
      </c>
      <c r="R40" s="9" t="n">
        <f aca="false">ROUND(10*Q40*POWER(1.1,Q40)*Parametres!$B$4*Parametres!$B$13,0)</f>
        <v>53417</v>
      </c>
      <c r="S40" s="9" t="n">
        <f aca="false">R40-ROUND(10*(Q40-1)*POWER(1.1,Q40-1)*Parametres!$B$4*Parametres!$B$13,0)</f>
        <v>6205</v>
      </c>
      <c r="T40" s="9" t="n">
        <f aca="false">ROUND(20*Q40*POWER(1.1,Q40),0)</f>
        <v>22257</v>
      </c>
      <c r="U40" s="9" t="n">
        <f aca="false">ROUND(225*POWER(1.5,Q40-1),0)</f>
        <v>327624661</v>
      </c>
      <c r="V40" s="9" t="n">
        <f aca="false">ROUND(75*POWER(1.5,Q40-1),0)</f>
        <v>109208220</v>
      </c>
      <c r="W40" s="10" t="n">
        <f aca="false">(U40*Parametres!$B$10+V40*Parametres!$B$11)/(S40*Parametres!$B$12)/24</f>
        <v>1100.00221819321</v>
      </c>
      <c r="Y40" s="8" t="n">
        <v>36</v>
      </c>
      <c r="Z40" s="9" t="n">
        <f aca="false">ROUND(20*Y40*POWER(1.1,Y40),0)</f>
        <v>22257</v>
      </c>
      <c r="AA40" s="9" t="n">
        <f aca="false">ROUND(75*POWER(1.5,Y40-1),0)</f>
        <v>109208220</v>
      </c>
      <c r="AB40" s="9" t="n">
        <f aca="false">ROUND(30*POWER(1.5,Y40-1),0)</f>
        <v>43683288</v>
      </c>
    </row>
    <row r="41" customFormat="false" ht="15" hidden="false" customHeight="false" outlineLevel="0" collapsed="false">
      <c r="A41" s="8" t="n">
        <v>37</v>
      </c>
      <c r="B41" s="9" t="n">
        <f aca="false">ROUND(30*A41*POWER(1.1,A41)*Parametres!$B$4,0)</f>
        <v>150978</v>
      </c>
      <c r="C41" s="9" t="n">
        <f aca="false">B41-ROUND(30*(A41-1)*POWER(1.1,A41-1)*Parametres!$B$4,0)</f>
        <v>17435</v>
      </c>
      <c r="D41" s="9" t="n">
        <f aca="false">ROUND(10*A41*POWER(1.1,A41),0)</f>
        <v>12581</v>
      </c>
      <c r="E41" s="9" t="n">
        <f aca="false">ROUND(60*POWER(1.5,A41-1),0)</f>
        <v>131049865</v>
      </c>
      <c r="F41" s="9" t="n">
        <f aca="false">ROUND(15*POWER(1.5,A41-1),0)</f>
        <v>32762466</v>
      </c>
      <c r="G41" s="10" t="n">
        <f aca="false">(E41*Parametres!$B$10+F41*Parametres!$B$11)/(C41*Parametres!$B$10)/24</f>
        <v>430.631784724214</v>
      </c>
      <c r="I41" s="8" t="n">
        <v>37</v>
      </c>
      <c r="J41" s="9" t="n">
        <f aca="false">ROUND(20*I41*POWER(1.1,I41)*Parametres!$B$4,0)</f>
        <v>100652</v>
      </c>
      <c r="K41" s="9" t="n">
        <f aca="false">J41-ROUND(20*(I41-1)*POWER(1.1,I41-1)*Parametres!$B$4,0)</f>
        <v>11623</v>
      </c>
      <c r="L41" s="9" t="n">
        <f aca="false">ROUND(10*I41*POWER(1.1,I41),0)</f>
        <v>12581</v>
      </c>
      <c r="M41" s="9" t="n">
        <f aca="false">ROUND(48*POWER(1.6,I41-1),0)</f>
        <v>1070435770</v>
      </c>
      <c r="N41" s="9" t="n">
        <f aca="false">ROUND(24*POWER(1.6,I41-1),0)</f>
        <v>535217885</v>
      </c>
      <c r="O41" s="10" t="n">
        <f aca="false">(M41*Parametres!$B$10+N41*Parametres!$B$11)/(K41*Parametres!$B$11)/24</f>
        <v>4476.90545924269</v>
      </c>
      <c r="Q41" s="8" t="n">
        <v>37</v>
      </c>
      <c r="R41" s="9" t="n">
        <f aca="false">ROUND(10*Q41*POWER(1.1,Q41)*Parametres!$B$4*Parametres!$B$13,0)</f>
        <v>60391</v>
      </c>
      <c r="S41" s="9" t="n">
        <f aca="false">R41-ROUND(10*(Q41-1)*POWER(1.1,Q41-1)*Parametres!$B$4*Parametres!$B$13,0)</f>
        <v>6974</v>
      </c>
      <c r="T41" s="9" t="n">
        <f aca="false">ROUND(20*Q41*POWER(1.1,Q41),0)</f>
        <v>25163</v>
      </c>
      <c r="U41" s="9" t="n">
        <f aca="false">ROUND(225*POWER(1.5,Q41-1),0)</f>
        <v>491436992</v>
      </c>
      <c r="V41" s="9" t="n">
        <f aca="false">ROUND(75*POWER(1.5,Q41-1),0)</f>
        <v>163812331</v>
      </c>
      <c r="W41" s="10" t="n">
        <f aca="false">(U41*Parametres!$B$10+V41*Parametres!$B$11)/(S41*Parametres!$B$12)/24</f>
        <v>1468.0629012921</v>
      </c>
      <c r="Y41" s="8" t="n">
        <v>37</v>
      </c>
      <c r="Z41" s="9" t="n">
        <f aca="false">ROUND(20*Y41*POWER(1.1,Y41),0)</f>
        <v>25163</v>
      </c>
      <c r="AA41" s="9" t="n">
        <f aca="false">ROUND(75*POWER(1.5,Y41-1),0)</f>
        <v>163812331</v>
      </c>
      <c r="AB41" s="9" t="n">
        <f aca="false">ROUND(30*POWER(1.5,Y41-1),0)</f>
        <v>65524932</v>
      </c>
    </row>
    <row r="42" customFormat="false" ht="15" hidden="false" customHeight="false" outlineLevel="0" collapsed="false">
      <c r="A42" s="8" t="n">
        <v>38</v>
      </c>
      <c r="B42" s="9" t="n">
        <f aca="false">ROUND(30*A42*POWER(1.1,A42)*Parametres!$B$4,0)</f>
        <v>170564</v>
      </c>
      <c r="C42" s="9" t="n">
        <f aca="false">B42-ROUND(30*(A42-1)*POWER(1.1,A42-1)*Parametres!$B$4,0)</f>
        <v>19586</v>
      </c>
      <c r="D42" s="9" t="n">
        <f aca="false">ROUND(10*A42*POWER(1.1,A42),0)</f>
        <v>14214</v>
      </c>
      <c r="E42" s="9" t="n">
        <f aca="false">ROUND(60*POWER(1.5,A42-1),0)</f>
        <v>196574797</v>
      </c>
      <c r="F42" s="9" t="n">
        <f aca="false">ROUND(15*POWER(1.5,A42-1),0)</f>
        <v>49143699</v>
      </c>
      <c r="G42" s="10" t="n">
        <f aca="false">(E42*Parametres!$B$10+F42*Parametres!$B$11)/(C42*Parametres!$B$10)/24</f>
        <v>575.007542589945</v>
      </c>
      <c r="I42" s="8" t="n">
        <v>38</v>
      </c>
      <c r="J42" s="9" t="n">
        <f aca="false">ROUND(20*I42*POWER(1.1,I42)*Parametres!$B$4,0)</f>
        <v>113709</v>
      </c>
      <c r="K42" s="9" t="n">
        <f aca="false">J42-ROUND(20*(I42-1)*POWER(1.1,I42-1)*Parametres!$B$4,0)</f>
        <v>13057</v>
      </c>
      <c r="L42" s="9" t="n">
        <f aca="false">ROUND(10*I42*POWER(1.1,I42),0)</f>
        <v>14214</v>
      </c>
      <c r="M42" s="9" t="n">
        <f aca="false">ROUND(48*POWER(1.6,I42-1),0)</f>
        <v>1712697231</v>
      </c>
      <c r="N42" s="9" t="n">
        <f aca="false">ROUND(24*POWER(1.6,I42-1),0)</f>
        <v>856348616</v>
      </c>
      <c r="O42" s="10" t="n">
        <f aca="false">(M42*Parametres!$B$10+N42*Parametres!$B$11)/(K42*Parametres!$B$11)/24</f>
        <v>6376.35869010237</v>
      </c>
      <c r="Q42" s="8" t="n">
        <v>38</v>
      </c>
      <c r="R42" s="9" t="n">
        <f aca="false">ROUND(10*Q42*POWER(1.1,Q42)*Parametres!$B$4*Parametres!$B$13,0)</f>
        <v>68226</v>
      </c>
      <c r="S42" s="9" t="n">
        <f aca="false">R42-ROUND(10*(Q42-1)*POWER(1.1,Q42-1)*Parametres!$B$4*Parametres!$B$13,0)</f>
        <v>7835</v>
      </c>
      <c r="T42" s="9" t="n">
        <f aca="false">ROUND(20*Q42*POWER(1.1,Q42),0)</f>
        <v>28427</v>
      </c>
      <c r="U42" s="9" t="n">
        <f aca="false">ROUND(225*POWER(1.5,Q42-1),0)</f>
        <v>737155488</v>
      </c>
      <c r="V42" s="9" t="n">
        <f aca="false">ROUND(75*POWER(1.5,Q42-1),0)</f>
        <v>245718496</v>
      </c>
      <c r="W42" s="10" t="n">
        <f aca="false">(U42*Parametres!$B$10+V42*Parametres!$B$11)/(S42*Parametres!$B$12)/24</f>
        <v>1960.10287172942</v>
      </c>
      <c r="Y42" s="8" t="n">
        <v>38</v>
      </c>
      <c r="Z42" s="9" t="n">
        <f aca="false">ROUND(20*Y42*POWER(1.1,Y42),0)</f>
        <v>28427</v>
      </c>
      <c r="AA42" s="9" t="n">
        <f aca="false">ROUND(75*POWER(1.5,Y42-1),0)</f>
        <v>245718496</v>
      </c>
      <c r="AB42" s="9" t="n">
        <f aca="false">ROUND(30*POWER(1.5,Y42-1),0)</f>
        <v>98287398</v>
      </c>
    </row>
    <row r="43" customFormat="false" ht="15" hidden="false" customHeight="false" outlineLevel="0" collapsed="false">
      <c r="A43" s="8" t="n">
        <v>39</v>
      </c>
      <c r="B43" s="9" t="n">
        <f aca="false">ROUND(30*A43*POWER(1.1,A43)*Parametres!$B$4,0)</f>
        <v>192558</v>
      </c>
      <c r="C43" s="9" t="n">
        <f aca="false">B43-ROUND(30*(A43-1)*POWER(1.1,A43-1)*Parametres!$B$4,0)</f>
        <v>21994</v>
      </c>
      <c r="D43" s="9" t="n">
        <f aca="false">ROUND(10*A43*POWER(1.1,A43),0)</f>
        <v>16046</v>
      </c>
      <c r="E43" s="9" t="n">
        <f aca="false">ROUND(60*POWER(1.5,A43-1),0)</f>
        <v>294862195</v>
      </c>
      <c r="F43" s="9" t="n">
        <f aca="false">ROUND(15*POWER(1.5,A43-1),0)</f>
        <v>73715549</v>
      </c>
      <c r="G43" s="10" t="n">
        <f aca="false">(E43*Parametres!$B$10+F43*Parametres!$B$11)/(C43*Parametres!$B$10)/24</f>
        <v>768.079776492074</v>
      </c>
      <c r="I43" s="8" t="n">
        <v>39</v>
      </c>
      <c r="J43" s="9" t="n">
        <f aca="false">ROUND(20*I43*POWER(1.1,I43)*Parametres!$B$4,0)</f>
        <v>128372</v>
      </c>
      <c r="K43" s="9" t="n">
        <f aca="false">J43-ROUND(20*(I43-1)*POWER(1.1,I43-1)*Parametres!$B$4,0)</f>
        <v>14663</v>
      </c>
      <c r="L43" s="9" t="n">
        <f aca="false">ROUND(10*I43*POWER(1.1,I43),0)</f>
        <v>16046</v>
      </c>
      <c r="M43" s="9" t="n">
        <f aca="false">ROUND(48*POWER(1.6,I43-1),0)</f>
        <v>2740315570</v>
      </c>
      <c r="N43" s="9" t="n">
        <f aca="false">ROUND(24*POWER(1.6,I43-1),0)</f>
        <v>1370157785</v>
      </c>
      <c r="O43" s="10" t="n">
        <f aca="false">(M43*Parametres!$B$10+N43*Parametres!$B$11)/(K43*Parametres!$B$11)/24</f>
        <v>9084.75650636144</v>
      </c>
      <c r="Q43" s="8" t="n">
        <v>39</v>
      </c>
      <c r="R43" s="9" t="n">
        <f aca="false">ROUND(10*Q43*POWER(1.1,Q43)*Parametres!$B$4*Parametres!$B$13,0)</f>
        <v>77023</v>
      </c>
      <c r="S43" s="9" t="n">
        <f aca="false">R43-ROUND(10*(Q43-1)*POWER(1.1,Q43-1)*Parametres!$B$4*Parametres!$B$13,0)</f>
        <v>8797</v>
      </c>
      <c r="T43" s="9" t="n">
        <f aca="false">ROUND(20*Q43*POWER(1.1,Q43),0)</f>
        <v>32093</v>
      </c>
      <c r="U43" s="9" t="n">
        <f aca="false">ROUND(225*POWER(1.5,Q43-1),0)</f>
        <v>1105733232</v>
      </c>
      <c r="V43" s="9" t="n">
        <f aca="false">ROUND(75*POWER(1.5,Q43-1),0)</f>
        <v>368577744</v>
      </c>
      <c r="W43" s="10" t="n">
        <f aca="false">(U43*Parametres!$B$10+V43*Parametres!$B$11)/(S43*Parametres!$B$12)/24</f>
        <v>2618.63237467318</v>
      </c>
      <c r="Y43" s="8" t="n">
        <v>39</v>
      </c>
      <c r="Z43" s="9" t="n">
        <f aca="false">ROUND(20*Y43*POWER(1.1,Y43),0)</f>
        <v>32093</v>
      </c>
      <c r="AA43" s="9" t="n">
        <f aca="false">ROUND(75*POWER(1.5,Y43-1),0)</f>
        <v>368577744</v>
      </c>
      <c r="AB43" s="9" t="n">
        <f aca="false">ROUND(30*POWER(1.5,Y43-1),0)</f>
        <v>147431098</v>
      </c>
    </row>
    <row r="44" customFormat="false" ht="15" hidden="false" customHeight="false" outlineLevel="0" collapsed="false">
      <c r="A44" s="8" t="n">
        <v>40</v>
      </c>
      <c r="B44" s="9" t="n">
        <f aca="false">ROUND(30*A44*POWER(1.1,A44)*Parametres!$B$4,0)</f>
        <v>217244</v>
      </c>
      <c r="C44" s="9" t="n">
        <f aca="false">B44-ROUND(30*(A44-1)*POWER(1.1,A44-1)*Parametres!$B$4,0)</f>
        <v>24686</v>
      </c>
      <c r="D44" s="9" t="n">
        <f aca="false">ROUND(10*A44*POWER(1.1,A44),0)</f>
        <v>18104</v>
      </c>
      <c r="E44" s="9" t="n">
        <f aca="false">ROUND(60*POWER(1.5,A44-1),0)</f>
        <v>442293293</v>
      </c>
      <c r="F44" s="9" t="n">
        <f aca="false">ROUND(15*POWER(1.5,A44-1),0)</f>
        <v>110573323</v>
      </c>
      <c r="G44" s="10" t="n">
        <f aca="false">(E44*Parametres!$B$10+F44*Parametres!$B$11)/(C44*Parametres!$B$10)/24</f>
        <v>1026.48140224554</v>
      </c>
      <c r="I44" s="8" t="n">
        <v>40</v>
      </c>
      <c r="J44" s="9" t="n">
        <f aca="false">ROUND(20*I44*POWER(1.1,I44)*Parametres!$B$4,0)</f>
        <v>144830</v>
      </c>
      <c r="K44" s="9" t="n">
        <f aca="false">J44-ROUND(20*(I44-1)*POWER(1.1,I44-1)*Parametres!$B$4,0)</f>
        <v>16458</v>
      </c>
      <c r="L44" s="9" t="n">
        <f aca="false">ROUND(10*I44*POWER(1.1,I44),0)</f>
        <v>18104</v>
      </c>
      <c r="M44" s="9" t="n">
        <f aca="false">ROUND(48*POWER(1.6,I44-1),0)</f>
        <v>4384504912</v>
      </c>
      <c r="N44" s="9" t="n">
        <f aca="false">ROUND(24*POWER(1.6,I44-1),0)</f>
        <v>2192252456</v>
      </c>
      <c r="O44" s="10" t="n">
        <f aca="false">(M44*Parametres!$B$10+N44*Parametres!$B$11)/(K44*Parametres!$B$11)/24</f>
        <v>12950.2767921038</v>
      </c>
      <c r="Q44" s="8" t="n">
        <v>40</v>
      </c>
      <c r="R44" s="9" t="n">
        <f aca="false">ROUND(10*Q44*POWER(1.1,Q44)*Parametres!$B$4*Parametres!$B$13,0)</f>
        <v>86898</v>
      </c>
      <c r="S44" s="9" t="n">
        <f aca="false">R44-ROUND(10*(Q44-1)*POWER(1.1,Q44-1)*Parametres!$B$4*Parametres!$B$13,0)</f>
        <v>9875</v>
      </c>
      <c r="T44" s="9" t="n">
        <f aca="false">ROUND(20*Q44*POWER(1.1,Q44),0)</f>
        <v>36207</v>
      </c>
      <c r="U44" s="9" t="n">
        <f aca="false">ROUND(225*POWER(1.5,Q44-1),0)</f>
        <v>1658599848</v>
      </c>
      <c r="V44" s="9" t="n">
        <f aca="false">ROUND(75*POWER(1.5,Q44-1),0)</f>
        <v>552866616</v>
      </c>
      <c r="W44" s="10" t="n">
        <f aca="false">(U44*Parametres!$B$10+V44*Parametres!$B$11)/(S44*Parametres!$B$12)/24</f>
        <v>3499.15579746835</v>
      </c>
      <c r="Y44" s="8" t="n">
        <v>40</v>
      </c>
      <c r="Z44" s="9" t="n">
        <f aca="false">ROUND(20*Y44*POWER(1.1,Y44),0)</f>
        <v>36207</v>
      </c>
      <c r="AA44" s="9" t="n">
        <f aca="false">ROUND(75*POWER(1.5,Y44-1),0)</f>
        <v>552866616</v>
      </c>
      <c r="AB44" s="9" t="n">
        <f aca="false">ROUND(30*POWER(1.5,Y44-1),0)</f>
        <v>221146646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69</v>
      </c>
    </row>
    <row r="3" customFormat="false" ht="15" hidden="false" customHeight="false" outlineLevel="0" collapsed="false">
      <c r="A3" s="4" t="s">
        <v>70</v>
      </c>
      <c r="B3" s="5" t="n">
        <v>10</v>
      </c>
    </row>
    <row r="5" customFormat="false" ht="15" hidden="false" customHeight="false" outlineLevel="0" collapsed="false">
      <c r="A5" s="7" t="s">
        <v>71</v>
      </c>
      <c r="B5" s="7" t="s">
        <v>72</v>
      </c>
      <c r="C5" s="7" t="s">
        <v>73</v>
      </c>
      <c r="D5" s="7" t="s">
        <v>74</v>
      </c>
      <c r="E5" s="7" t="s">
        <v>75</v>
      </c>
      <c r="F5" s="7" t="s">
        <v>76</v>
      </c>
      <c r="G5" s="7" t="s">
        <v>77</v>
      </c>
      <c r="H5" s="7" t="s">
        <v>78</v>
      </c>
      <c r="I5" s="7" t="s">
        <v>79</v>
      </c>
    </row>
    <row r="6" customFormat="false" ht="15" hidden="false" customHeight="false" outlineLevel="0" collapsed="false">
      <c r="A6" s="8" t="s">
        <v>80</v>
      </c>
      <c r="B6" s="11" t="n">
        <v>400</v>
      </c>
      <c r="C6" s="11" t="n">
        <v>120</v>
      </c>
      <c r="D6" s="11" t="n">
        <v>200</v>
      </c>
      <c r="E6" s="12" t="n">
        <v>2</v>
      </c>
      <c r="F6" s="13" t="n">
        <f aca="false">ROUND(B6*POWER(E6,$B$3-1),0)</f>
        <v>204800</v>
      </c>
      <c r="G6" s="13" t="n">
        <f aca="false">ROUND(C6*POWER(E6,$B$3-1),0)</f>
        <v>61440</v>
      </c>
      <c r="H6" s="13" t="n">
        <f aca="false">ROUND(D6*POWER(E6,$B$3-1),0)</f>
        <v>102400</v>
      </c>
      <c r="I6" s="13" t="n">
        <f aca="false">F6*Parametres!$B$10+G6*Parametres!$B$11+H6*Parametres!$B$12</f>
        <v>604160</v>
      </c>
    </row>
    <row r="7" customFormat="false" ht="15" hidden="false" customHeight="false" outlineLevel="0" collapsed="false">
      <c r="A7" s="8" t="s">
        <v>81</v>
      </c>
      <c r="B7" s="11" t="n">
        <v>1000000</v>
      </c>
      <c r="C7" s="11" t="n">
        <v>500000</v>
      </c>
      <c r="D7" s="11" t="n">
        <v>100000</v>
      </c>
      <c r="E7" s="12" t="n">
        <v>2</v>
      </c>
      <c r="F7" s="13" t="n">
        <f aca="false">ROUND(B7*POWER(E7,$B$3-1),0)</f>
        <v>512000000</v>
      </c>
      <c r="G7" s="13" t="n">
        <f aca="false">ROUND(C7*POWER(E7,$B$3-1),0)</f>
        <v>256000000</v>
      </c>
      <c r="H7" s="13" t="n">
        <f aca="false">ROUND(D7*POWER(E7,$B$3-1),0)</f>
        <v>51200000</v>
      </c>
      <c r="I7" s="13" t="n">
        <f aca="false">F7*Parametres!$B$10+G7*Parametres!$B$11+H7*Parametres!$B$12</f>
        <v>1049600000</v>
      </c>
    </row>
    <row r="8" customFormat="false" ht="15" hidden="false" customHeight="false" outlineLevel="0" collapsed="false">
      <c r="A8" s="8" t="s">
        <v>82</v>
      </c>
      <c r="B8" s="11" t="n">
        <v>400</v>
      </c>
      <c r="C8" s="11" t="n">
        <v>200</v>
      </c>
      <c r="D8" s="11" t="n">
        <v>100</v>
      </c>
      <c r="E8" s="12" t="n">
        <v>2</v>
      </c>
      <c r="F8" s="13" t="n">
        <f aca="false">ROUND(B8*POWER(E8,$B$3-1),0)</f>
        <v>204800</v>
      </c>
      <c r="G8" s="13" t="n">
        <f aca="false">ROUND(C8*POWER(E8,$B$3-1),0)</f>
        <v>102400</v>
      </c>
      <c r="H8" s="13" t="n">
        <f aca="false">ROUND(D8*POWER(E8,$B$3-1),0)</f>
        <v>51200</v>
      </c>
      <c r="I8" s="13" t="n">
        <f aca="false">F8*Parametres!$B$10+G8*Parametres!$B$11+H8*Parametres!$B$12</f>
        <v>512000</v>
      </c>
    </row>
    <row r="9" customFormat="false" ht="15" hidden="false" customHeight="false" outlineLevel="0" collapsed="false">
      <c r="A9" s="8" t="s">
        <v>83</v>
      </c>
      <c r="B9" s="11" t="n">
        <v>200</v>
      </c>
      <c r="C9" s="11" t="n">
        <v>400</v>
      </c>
      <c r="D9" s="11" t="n">
        <v>200</v>
      </c>
      <c r="E9" s="12" t="n">
        <v>2</v>
      </c>
      <c r="F9" s="13" t="n">
        <f aca="false">ROUND(B9*POWER(E9,$B$3-1),0)</f>
        <v>102400</v>
      </c>
      <c r="G9" s="13" t="n">
        <f aca="false">ROUND(C9*POWER(E9,$B$3-1),0)</f>
        <v>204800</v>
      </c>
      <c r="H9" s="13" t="n">
        <f aca="false">ROUND(D9*POWER(E9,$B$3-1),0)</f>
        <v>102400</v>
      </c>
      <c r="I9" s="13" t="n">
        <f aca="false">F9*Parametres!$B$10+G9*Parametres!$B$11+H9*Parametres!$B$12</f>
        <v>716800</v>
      </c>
    </row>
    <row r="10" customFormat="false" ht="15" hidden="false" customHeight="false" outlineLevel="0" collapsed="false">
      <c r="A10" s="8" t="s">
        <v>84</v>
      </c>
      <c r="B10" s="11" t="n">
        <v>20000</v>
      </c>
      <c r="C10" s="11" t="n">
        <v>20000</v>
      </c>
      <c r="D10" s="11" t="n">
        <v>1000</v>
      </c>
      <c r="E10" s="12" t="n">
        <v>2</v>
      </c>
      <c r="F10" s="13" t="n">
        <f aca="false">ROUND(B10*POWER(E10,$B$3-1),0)</f>
        <v>10240000</v>
      </c>
      <c r="G10" s="13" t="n">
        <f aca="false">ROUND(C10*POWER(E10,$B$3-1),0)</f>
        <v>10240000</v>
      </c>
      <c r="H10" s="13" t="n">
        <f aca="false">ROUND(D10*POWER(E10,$B$3-1),0)</f>
        <v>512000</v>
      </c>
      <c r="I10" s="13" t="n">
        <f aca="false">F10*Parametres!$B$10+G10*Parametres!$B$11+H10*Parametres!$B$12</f>
        <v>27136000</v>
      </c>
    </row>
    <row r="11" customFormat="false" ht="15" hidden="false" customHeight="false" outlineLevel="0" collapsed="false">
      <c r="A11" s="8" t="s">
        <v>85</v>
      </c>
      <c r="B11" s="11" t="n">
        <v>0</v>
      </c>
      <c r="C11" s="11" t="n">
        <v>50000</v>
      </c>
      <c r="D11" s="11" t="n">
        <v>100000</v>
      </c>
      <c r="E11" s="12" t="n">
        <v>2</v>
      </c>
      <c r="F11" s="13" t="n">
        <f aca="false">ROUND(B11*POWER(E11,$B$3-1),0)</f>
        <v>0</v>
      </c>
      <c r="G11" s="13" t="n">
        <f aca="false">ROUND(C11*POWER(E11,$B$3-1),0)</f>
        <v>25600000</v>
      </c>
      <c r="H11" s="13" t="n">
        <f aca="false">ROUND(D11*POWER(E11,$B$3-1),0)</f>
        <v>51200000</v>
      </c>
      <c r="I11" s="13" t="n">
        <f aca="false">F11*Parametres!$B$10+G11*Parametres!$B$11+H11*Parametres!$B$12</f>
        <v>192000000</v>
      </c>
    </row>
    <row r="12" customFormat="false" ht="15" hidden="false" customHeight="false" outlineLevel="0" collapsed="false">
      <c r="A12" s="8" t="s">
        <v>86</v>
      </c>
      <c r="B12" s="11" t="n">
        <v>20000</v>
      </c>
      <c r="C12" s="11" t="n">
        <v>40000</v>
      </c>
      <c r="D12" s="11" t="n">
        <v>0</v>
      </c>
      <c r="E12" s="12" t="n">
        <v>2</v>
      </c>
      <c r="F12" s="13" t="n">
        <f aca="false">ROUND(B12*POWER(E12,$B$3-1),0)</f>
        <v>10240000</v>
      </c>
      <c r="G12" s="13" t="n">
        <f aca="false">ROUND(C12*POWER(E12,$B$3-1),0)</f>
        <v>20480000</v>
      </c>
      <c r="H12" s="13" t="n">
        <f aca="false">ROUND(D12*POWER(E12,$B$3-1),0)</f>
        <v>0</v>
      </c>
      <c r="I12" s="13" t="n">
        <f aca="false">F12*Parametres!$B$10+G12*Parametres!$B$11+H12*Parametres!$B$12</f>
        <v>40960000</v>
      </c>
    </row>
    <row r="13" customFormat="false" ht="15" hidden="false" customHeight="false" outlineLevel="0" collapsed="false">
      <c r="A13" s="8" t="s">
        <v>87</v>
      </c>
      <c r="B13" s="11" t="n">
        <v>900</v>
      </c>
      <c r="C13" s="11" t="n">
        <v>360</v>
      </c>
      <c r="D13" s="11" t="n">
        <v>180</v>
      </c>
      <c r="E13" s="12" t="n">
        <v>1.8</v>
      </c>
      <c r="F13" s="13" t="n">
        <f aca="false">ROUND(B13*POWER(E13,$B$3-1),0)</f>
        <v>178523</v>
      </c>
      <c r="G13" s="13" t="n">
        <f aca="false">ROUND(C13*POWER(E13,$B$3-1),0)</f>
        <v>71409</v>
      </c>
      <c r="H13" s="13" t="n">
        <f aca="false">ROUND(D13*POWER(E13,$B$3-1),0)</f>
        <v>35705</v>
      </c>
      <c r="I13" s="13" t="n">
        <f aca="false">F13*Parametres!$B$10+G13*Parametres!$B$11+H13*Parametres!$B$12</f>
        <v>392751.5</v>
      </c>
    </row>
    <row r="14" customFormat="false" ht="15" hidden="false" customHeight="false" outlineLevel="0" collapsed="false">
      <c r="A14" s="8" t="s">
        <v>88</v>
      </c>
      <c r="B14" s="11" t="n">
        <v>20000</v>
      </c>
      <c r="C14" s="11" t="n">
        <v>40000</v>
      </c>
      <c r="D14" s="11" t="n">
        <v>20000</v>
      </c>
      <c r="E14" s="12" t="n">
        <v>2</v>
      </c>
      <c r="F14" s="13" t="n">
        <f aca="false">ROUND(B14*POWER(E14,$B$3-1),0)</f>
        <v>10240000</v>
      </c>
      <c r="G14" s="13" t="n">
        <f aca="false">ROUND(C14*POWER(E14,$B$3-1),0)</f>
        <v>20480000</v>
      </c>
      <c r="H14" s="13" t="n">
        <f aca="false">ROUND(D14*POWER(E14,$B$3-1),0)</f>
        <v>10240000</v>
      </c>
      <c r="I14" s="13" t="n">
        <f aca="false">F14*Parametres!$B$10+G14*Parametres!$B$11+H14*Parametres!$B$12</f>
        <v>71680000</v>
      </c>
    </row>
    <row r="15" customFormat="false" ht="15" hidden="false" customHeight="false" outlineLevel="0" collapsed="false">
      <c r="A15" s="8" t="s">
        <v>89</v>
      </c>
      <c r="B15" s="11" t="n">
        <v>20000</v>
      </c>
      <c r="C15" s="11" t="n">
        <v>40000</v>
      </c>
      <c r="D15" s="11" t="n">
        <v>20000</v>
      </c>
      <c r="E15" s="12" t="n">
        <v>2</v>
      </c>
      <c r="F15" s="13" t="n">
        <f aca="false">ROUND(B15*POWER(E15,$B$3-1),0)</f>
        <v>10240000</v>
      </c>
      <c r="G15" s="13" t="n">
        <f aca="false">ROUND(C15*POWER(E15,$B$3-1),0)</f>
        <v>20480000</v>
      </c>
      <c r="H15" s="13" t="n">
        <f aca="false">ROUND(D15*POWER(E15,$B$3-1),0)</f>
        <v>10240000</v>
      </c>
      <c r="I15" s="13" t="n">
        <f aca="false">F15*Parametres!$B$10+G15*Parametres!$B$11+H15*Parametres!$B$12</f>
        <v>71680000</v>
      </c>
    </row>
    <row r="16" customFormat="false" ht="15" hidden="false" customHeight="false" outlineLevel="0" collapsed="false">
      <c r="A16" s="8" t="s">
        <v>90</v>
      </c>
      <c r="B16" s="11" t="n">
        <v>2000000</v>
      </c>
      <c r="C16" s="11" t="n">
        <v>4000000</v>
      </c>
      <c r="D16" s="11" t="n">
        <v>2000000</v>
      </c>
      <c r="E16" s="12" t="n">
        <v>2</v>
      </c>
      <c r="F16" s="13" t="n">
        <f aca="false">ROUND(B16*POWER(E16,$B$3-1),0)</f>
        <v>1024000000</v>
      </c>
      <c r="G16" s="13" t="n">
        <f aca="false">ROUND(C16*POWER(E16,$B$3-1),0)</f>
        <v>2048000000</v>
      </c>
      <c r="H16" s="13" t="n">
        <f aca="false">ROUND(D16*POWER(E16,$B$3-1),0)</f>
        <v>1024000000</v>
      </c>
      <c r="I16" s="13" t="n">
        <f aca="false">F16*Parametres!$B$10+G16*Parametres!$B$11+H16*Parametres!$B$12</f>
        <v>7168000000</v>
      </c>
    </row>
    <row r="18" customFormat="false" ht="15" hidden="false" customHeight="false" outlineLevel="0" collapsed="false">
      <c r="A18" s="3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92</v>
      </c>
    </row>
    <row r="3" customFormat="false" ht="15" hidden="false" customHeight="false" outlineLevel="0" collapsed="false">
      <c r="A3" s="4" t="s">
        <v>70</v>
      </c>
      <c r="B3" s="5" t="n">
        <v>8</v>
      </c>
    </row>
    <row r="5" customFormat="false" ht="15" hidden="false" customHeight="false" outlineLevel="0" collapsed="false">
      <c r="A5" s="7" t="s">
        <v>93</v>
      </c>
      <c r="B5" s="7" t="s">
        <v>72</v>
      </c>
      <c r="C5" s="7" t="s">
        <v>73</v>
      </c>
      <c r="D5" s="7" t="s">
        <v>74</v>
      </c>
      <c r="E5" s="7" t="s">
        <v>75</v>
      </c>
      <c r="F5" s="7" t="s">
        <v>76</v>
      </c>
      <c r="G5" s="7" t="s">
        <v>77</v>
      </c>
      <c r="H5" s="7" t="s">
        <v>78</v>
      </c>
      <c r="I5" s="7" t="s">
        <v>79</v>
      </c>
    </row>
    <row r="6" customFormat="false" ht="15" hidden="false" customHeight="false" outlineLevel="0" collapsed="false">
      <c r="A6" s="8" t="s">
        <v>94</v>
      </c>
      <c r="B6" s="11" t="n">
        <v>200</v>
      </c>
      <c r="C6" s="11" t="n">
        <v>1000</v>
      </c>
      <c r="D6" s="11" t="n">
        <v>200</v>
      </c>
      <c r="E6" s="12" t="n">
        <v>2</v>
      </c>
      <c r="F6" s="13" t="n">
        <f aca="false">ROUND(B6*POWER(E6,$B$3-1),0)</f>
        <v>25600</v>
      </c>
      <c r="G6" s="13" t="n">
        <f aca="false">ROUND(C6*POWER(E6,$B$3-1),0)</f>
        <v>128000</v>
      </c>
      <c r="H6" s="13" t="n">
        <f aca="false">ROUND(D6*POWER(E6,$B$3-1),0)</f>
        <v>25600</v>
      </c>
      <c r="I6" s="13" t="n">
        <f aca="false">F6*Parametres!$B$10+G6*Parametres!$B$11+H6*Parametres!$B$12</f>
        <v>294400</v>
      </c>
    </row>
    <row r="7" customFormat="false" ht="15" hidden="false" customHeight="false" outlineLevel="0" collapsed="false">
      <c r="A7" s="8" t="s">
        <v>95</v>
      </c>
      <c r="B7" s="11" t="n">
        <v>0</v>
      </c>
      <c r="C7" s="11" t="n">
        <v>400</v>
      </c>
      <c r="D7" s="11" t="n">
        <v>600</v>
      </c>
      <c r="E7" s="12" t="n">
        <v>2</v>
      </c>
      <c r="F7" s="13" t="n">
        <f aca="false">ROUND(B7*POWER(E7,$B$3-1),0)</f>
        <v>0</v>
      </c>
      <c r="G7" s="13" t="n">
        <f aca="false">ROUND(C7*POWER(E7,$B$3-1),0)</f>
        <v>51200</v>
      </c>
      <c r="H7" s="13" t="n">
        <f aca="false">ROUND(D7*POWER(E7,$B$3-1),0)</f>
        <v>76800</v>
      </c>
      <c r="I7" s="13" t="n">
        <f aca="false">F7*Parametres!$B$10+G7*Parametres!$B$11+H7*Parametres!$B$12</f>
        <v>307200</v>
      </c>
    </row>
    <row r="8" customFormat="false" ht="15" hidden="false" customHeight="false" outlineLevel="0" collapsed="false">
      <c r="A8" s="8" t="s">
        <v>96</v>
      </c>
      <c r="B8" s="11" t="n">
        <v>800</v>
      </c>
      <c r="C8" s="11" t="n">
        <v>200</v>
      </c>
      <c r="D8" s="11" t="n">
        <v>0</v>
      </c>
      <c r="E8" s="12" t="n">
        <v>2</v>
      </c>
      <c r="F8" s="13" t="n">
        <f aca="false">ROUND(B8*POWER(E8,$B$3-1),0)</f>
        <v>102400</v>
      </c>
      <c r="G8" s="13" t="n">
        <f aca="false">ROUND(C8*POWER(E8,$B$3-1),0)</f>
        <v>25600</v>
      </c>
      <c r="H8" s="13" t="n">
        <f aca="false">ROUND(D8*POWER(E8,$B$3-1),0)</f>
        <v>0</v>
      </c>
      <c r="I8" s="13" t="n">
        <f aca="false">F8*Parametres!$B$10+G8*Parametres!$B$11+H8*Parametres!$B$12</f>
        <v>140800</v>
      </c>
    </row>
    <row r="9" customFormat="false" ht="15" hidden="false" customHeight="false" outlineLevel="0" collapsed="false">
      <c r="A9" s="8" t="s">
        <v>97</v>
      </c>
      <c r="B9" s="11" t="n">
        <v>200</v>
      </c>
      <c r="C9" s="11" t="n">
        <v>600</v>
      </c>
      <c r="D9" s="11" t="n">
        <v>0</v>
      </c>
      <c r="E9" s="12" t="n">
        <v>2</v>
      </c>
      <c r="F9" s="13" t="n">
        <f aca="false">ROUND(B9*POWER(E9,$B$3-1),0)</f>
        <v>25600</v>
      </c>
      <c r="G9" s="13" t="n">
        <f aca="false">ROUND(C9*POWER(E9,$B$3-1),0)</f>
        <v>76800</v>
      </c>
      <c r="H9" s="13" t="n">
        <f aca="false">ROUND(D9*POWER(E9,$B$3-1),0)</f>
        <v>0</v>
      </c>
      <c r="I9" s="13" t="n">
        <f aca="false">F9*Parametres!$B$10+G9*Parametres!$B$11+H9*Parametres!$B$12</f>
        <v>140800</v>
      </c>
    </row>
    <row r="10" customFormat="false" ht="15" hidden="false" customHeight="false" outlineLevel="0" collapsed="false">
      <c r="A10" s="8" t="s">
        <v>98</v>
      </c>
      <c r="B10" s="11" t="n">
        <v>1000</v>
      </c>
      <c r="C10" s="11" t="n">
        <v>0</v>
      </c>
      <c r="D10" s="11" t="n">
        <v>0</v>
      </c>
      <c r="E10" s="12" t="n">
        <v>2</v>
      </c>
      <c r="F10" s="13" t="n">
        <f aca="false">ROUND(B10*POWER(E10,$B$3-1),0)</f>
        <v>128000</v>
      </c>
      <c r="G10" s="13" t="n">
        <f aca="false">ROUND(C10*POWER(E10,$B$3-1),0)</f>
        <v>0</v>
      </c>
      <c r="H10" s="13" t="n">
        <f aca="false">ROUND(D10*POWER(E10,$B$3-1),0)</f>
        <v>0</v>
      </c>
      <c r="I10" s="13" t="n">
        <f aca="false">F10*Parametres!$B$10+G10*Parametres!$B$11+H10*Parametres!$B$12</f>
        <v>128000</v>
      </c>
    </row>
    <row r="11" customFormat="false" ht="15" hidden="false" customHeight="false" outlineLevel="0" collapsed="false">
      <c r="A11" s="8" t="s">
        <v>99</v>
      </c>
      <c r="B11" s="11" t="n">
        <v>0</v>
      </c>
      <c r="C11" s="11" t="n">
        <v>800</v>
      </c>
      <c r="D11" s="11" t="n">
        <v>400</v>
      </c>
      <c r="E11" s="12" t="n">
        <v>2</v>
      </c>
      <c r="F11" s="13" t="n">
        <f aca="false">ROUND(B11*POWER(E11,$B$3-1),0)</f>
        <v>0</v>
      </c>
      <c r="G11" s="13" t="n">
        <f aca="false">ROUND(C11*POWER(E11,$B$3-1),0)</f>
        <v>102400</v>
      </c>
      <c r="H11" s="13" t="n">
        <f aca="false">ROUND(D11*POWER(E11,$B$3-1),0)</f>
        <v>51200</v>
      </c>
      <c r="I11" s="13" t="n">
        <f aca="false">F11*Parametres!$B$10+G11*Parametres!$B$11+H11*Parametres!$B$12</f>
        <v>307200</v>
      </c>
    </row>
    <row r="12" customFormat="false" ht="15" hidden="false" customHeight="false" outlineLevel="0" collapsed="false">
      <c r="A12" s="8" t="s">
        <v>100</v>
      </c>
      <c r="B12" s="11" t="n">
        <v>400</v>
      </c>
      <c r="C12" s="11" t="n">
        <v>0</v>
      </c>
      <c r="D12" s="11" t="n">
        <v>600</v>
      </c>
      <c r="E12" s="12" t="n">
        <v>2</v>
      </c>
      <c r="F12" s="13" t="n">
        <f aca="false">ROUND(B12*POWER(E12,$B$3-1),0)</f>
        <v>51200</v>
      </c>
      <c r="G12" s="13" t="n">
        <f aca="false">ROUND(C12*POWER(E12,$B$3-1),0)</f>
        <v>0</v>
      </c>
      <c r="H12" s="13" t="n">
        <f aca="false">ROUND(D12*POWER(E12,$B$3-1),0)</f>
        <v>76800</v>
      </c>
      <c r="I12" s="13" t="n">
        <f aca="false">F12*Parametres!$B$10+G12*Parametres!$B$11+H12*Parametres!$B$12</f>
        <v>281600</v>
      </c>
    </row>
    <row r="13" customFormat="false" ht="15" hidden="false" customHeight="false" outlineLevel="0" collapsed="false">
      <c r="A13" s="8" t="s">
        <v>101</v>
      </c>
      <c r="B13" s="11" t="n">
        <v>2000</v>
      </c>
      <c r="C13" s="11" t="n">
        <v>4000</v>
      </c>
      <c r="D13" s="11" t="n">
        <v>600</v>
      </c>
      <c r="E13" s="12" t="n">
        <v>2</v>
      </c>
      <c r="F13" s="13" t="n">
        <f aca="false">ROUND(B13*POWER(E13,$B$3-1),0)</f>
        <v>256000</v>
      </c>
      <c r="G13" s="13" t="n">
        <f aca="false">ROUND(C13*POWER(E13,$B$3-1),0)</f>
        <v>512000</v>
      </c>
      <c r="H13" s="13" t="n">
        <f aca="false">ROUND(D13*POWER(E13,$B$3-1),0)</f>
        <v>76800</v>
      </c>
      <c r="I13" s="13" t="n">
        <f aca="false">F13*Parametres!$B$10+G13*Parametres!$B$11+H13*Parametres!$B$12</f>
        <v>1254400</v>
      </c>
    </row>
    <row r="14" customFormat="false" ht="15" hidden="false" customHeight="false" outlineLevel="0" collapsed="false">
      <c r="A14" s="8" t="s">
        <v>102</v>
      </c>
      <c r="B14" s="11" t="n">
        <v>10000</v>
      </c>
      <c r="C14" s="11" t="n">
        <v>20000</v>
      </c>
      <c r="D14" s="11" t="n">
        <v>6000</v>
      </c>
      <c r="E14" s="12" t="n">
        <v>2</v>
      </c>
      <c r="F14" s="13" t="n">
        <f aca="false">ROUND(B14*POWER(E14,$B$3-1),0)</f>
        <v>1280000</v>
      </c>
      <c r="G14" s="13" t="n">
        <f aca="false">ROUND(C14*POWER(E14,$B$3-1),0)</f>
        <v>2560000</v>
      </c>
      <c r="H14" s="13" t="n">
        <f aca="false">ROUND(D14*POWER(E14,$B$3-1),0)</f>
        <v>768000</v>
      </c>
      <c r="I14" s="13" t="n">
        <f aca="false">F14*Parametres!$B$10+G14*Parametres!$B$11+H14*Parametres!$B$12</f>
        <v>7424000</v>
      </c>
    </row>
    <row r="15" customFormat="false" ht="15" hidden="false" customHeight="false" outlineLevel="0" collapsed="false">
      <c r="A15" s="8" t="s">
        <v>103</v>
      </c>
      <c r="B15" s="11" t="n">
        <v>0</v>
      </c>
      <c r="C15" s="11" t="n">
        <v>4000</v>
      </c>
      <c r="D15" s="11" t="n">
        <v>2000</v>
      </c>
      <c r="E15" s="12" t="n">
        <v>2</v>
      </c>
      <c r="F15" s="13" t="n">
        <f aca="false">ROUND(B15*POWER(E15,$B$3-1),0)</f>
        <v>0</v>
      </c>
      <c r="G15" s="13" t="n">
        <f aca="false">ROUND(C15*POWER(E15,$B$3-1),0)</f>
        <v>512000</v>
      </c>
      <c r="H15" s="13" t="n">
        <f aca="false">ROUND(D15*POWER(E15,$B$3-1),0)</f>
        <v>256000</v>
      </c>
      <c r="I15" s="13" t="n">
        <f aca="false">F15*Parametres!$B$10+G15*Parametres!$B$11+H15*Parametres!$B$12</f>
        <v>1536000</v>
      </c>
    </row>
    <row r="16" customFormat="false" ht="15" hidden="false" customHeight="false" outlineLevel="0" collapsed="false">
      <c r="A16" s="8" t="s">
        <v>104</v>
      </c>
      <c r="B16" s="11" t="n">
        <v>200</v>
      </c>
      <c r="C16" s="11" t="n">
        <v>100</v>
      </c>
      <c r="D16" s="11" t="n">
        <v>0</v>
      </c>
      <c r="E16" s="12" t="n">
        <v>2</v>
      </c>
      <c r="F16" s="13" t="n">
        <f aca="false">ROUND(B16*POWER(E16,$B$3-1),0)</f>
        <v>25600</v>
      </c>
      <c r="G16" s="13" t="n">
        <f aca="false">ROUND(C16*POWER(E16,$B$3-1),0)</f>
        <v>12800</v>
      </c>
      <c r="H16" s="13" t="n">
        <f aca="false">ROUND(D16*POWER(E16,$B$3-1),0)</f>
        <v>0</v>
      </c>
      <c r="I16" s="13" t="n">
        <f aca="false">F16*Parametres!$B$10+G16*Parametres!$B$11+H16*Parametres!$B$12</f>
        <v>44800</v>
      </c>
    </row>
    <row r="17" customFormat="false" ht="15" hidden="false" customHeight="false" outlineLevel="0" collapsed="false">
      <c r="A17" s="8" t="s">
        <v>105</v>
      </c>
      <c r="B17" s="11" t="n">
        <v>1000</v>
      </c>
      <c r="C17" s="11" t="n">
        <v>300</v>
      </c>
      <c r="D17" s="11" t="n">
        <v>100</v>
      </c>
      <c r="E17" s="12" t="n">
        <v>2</v>
      </c>
      <c r="F17" s="13" t="n">
        <f aca="false">ROUND(B17*POWER(E17,$B$3-1),0)</f>
        <v>128000</v>
      </c>
      <c r="G17" s="13" t="n">
        <f aca="false">ROUND(C17*POWER(E17,$B$3-1),0)</f>
        <v>38400</v>
      </c>
      <c r="H17" s="13" t="n">
        <f aca="false">ROUND(D17*POWER(E17,$B$3-1),0)</f>
        <v>12800</v>
      </c>
      <c r="I17" s="13" t="n">
        <f aca="false">F17*Parametres!$B$10+G17*Parametres!$B$11+H17*Parametres!$B$12</f>
        <v>224000</v>
      </c>
    </row>
    <row r="18" customFormat="false" ht="15" hidden="false" customHeight="false" outlineLevel="0" collapsed="false">
      <c r="A18" s="8" t="s">
        <v>106</v>
      </c>
      <c r="B18" s="11" t="n">
        <v>2000</v>
      </c>
      <c r="C18" s="11" t="n">
        <v>4000</v>
      </c>
      <c r="D18" s="11" t="n">
        <v>1000</v>
      </c>
      <c r="E18" s="12" t="n">
        <v>2</v>
      </c>
      <c r="F18" s="13" t="n">
        <f aca="false">ROUND(B18*POWER(E18,$B$3-1),0)</f>
        <v>256000</v>
      </c>
      <c r="G18" s="13" t="n">
        <f aca="false">ROUND(C18*POWER(E18,$B$3-1),0)</f>
        <v>512000</v>
      </c>
      <c r="H18" s="13" t="n">
        <f aca="false">ROUND(D18*POWER(E18,$B$3-1),0)</f>
        <v>128000</v>
      </c>
      <c r="I18" s="13" t="n">
        <f aca="false">F18*Parametres!$B$10+G18*Parametres!$B$11+H18*Parametres!$B$12</f>
        <v>1408000</v>
      </c>
    </row>
    <row r="19" customFormat="false" ht="15" hidden="false" customHeight="false" outlineLevel="0" collapsed="false">
      <c r="A19" s="8" t="s">
        <v>107</v>
      </c>
      <c r="B19" s="11" t="n">
        <v>4000</v>
      </c>
      <c r="C19" s="11" t="n">
        <v>8000</v>
      </c>
      <c r="D19" s="11" t="n">
        <v>4000</v>
      </c>
      <c r="E19" s="12" t="n">
        <v>1.75</v>
      </c>
      <c r="F19" s="13" t="n">
        <f aca="false">ROUND(B19*POWER(E19,$B$3-1),0)</f>
        <v>201060</v>
      </c>
      <c r="G19" s="13" t="n">
        <f aca="false">ROUND(C19*POWER(E19,$B$3-1),0)</f>
        <v>402121</v>
      </c>
      <c r="H19" s="13" t="n">
        <f aca="false">ROUND(D19*POWER(E19,$B$3-1),0)</f>
        <v>201060</v>
      </c>
      <c r="I19" s="13" t="n">
        <f aca="false">F19*Parametres!$B$10+G19*Parametres!$B$11+H19*Parametres!$B$12</f>
        <v>1407421.5</v>
      </c>
    </row>
    <row r="20" customFormat="false" ht="15" hidden="false" customHeight="false" outlineLevel="0" collapsed="false">
      <c r="A20" s="8" t="s">
        <v>108</v>
      </c>
      <c r="B20" s="11" t="n">
        <v>240000</v>
      </c>
      <c r="C20" s="11" t="n">
        <v>400000</v>
      </c>
      <c r="D20" s="11" t="n">
        <v>160000</v>
      </c>
      <c r="E20" s="12" t="n">
        <v>2</v>
      </c>
      <c r="F20" s="13" t="n">
        <f aca="false">ROUND(B20*POWER(E20,$B$3-1),0)</f>
        <v>30720000</v>
      </c>
      <c r="G20" s="13" t="n">
        <f aca="false">ROUND(C20*POWER(E20,$B$3-1),0)</f>
        <v>51200000</v>
      </c>
      <c r="H20" s="13" t="n">
        <f aca="false">ROUND(D20*POWER(E20,$B$3-1),0)</f>
        <v>20480000</v>
      </c>
      <c r="I20" s="13" t="n">
        <f aca="false">F20*Parametres!$B$10+G20*Parametres!$B$11+H20*Parametres!$B$12</f>
        <v>168960000</v>
      </c>
    </row>
    <row r="22" customFormat="false" ht="15" hidden="false" customHeight="false" outlineLevel="0" collapsed="false">
      <c r="A22" s="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14" min="3" style="0" width="11"/>
  </cols>
  <sheetData>
    <row r="1" customFormat="false" ht="17.35" hidden="false" customHeight="false" outlineLevel="0" collapsed="false">
      <c r="A1" s="1" t="s">
        <v>110</v>
      </c>
    </row>
    <row r="3" customFormat="false" ht="23.85" hidden="false" customHeight="false" outlineLevel="0" collapsed="false">
      <c r="A3" s="7" t="s">
        <v>111</v>
      </c>
      <c r="B3" s="7" t="s">
        <v>112</v>
      </c>
      <c r="C3" s="7" t="s">
        <v>113</v>
      </c>
      <c r="D3" s="7" t="s">
        <v>114</v>
      </c>
      <c r="E3" s="7" t="s">
        <v>115</v>
      </c>
      <c r="F3" s="7" t="s">
        <v>116</v>
      </c>
      <c r="G3" s="7" t="s">
        <v>117</v>
      </c>
      <c r="H3" s="7" t="s">
        <v>118</v>
      </c>
      <c r="I3" s="7" t="s">
        <v>119</v>
      </c>
      <c r="J3" s="7" t="s">
        <v>120</v>
      </c>
      <c r="K3" s="7" t="s">
        <v>121</v>
      </c>
      <c r="L3" s="7" t="s">
        <v>122</v>
      </c>
      <c r="M3" s="7" t="s">
        <v>123</v>
      </c>
      <c r="N3" s="7" t="s">
        <v>124</v>
      </c>
    </row>
    <row r="4" customFormat="false" ht="15" hidden="false" customHeight="false" outlineLevel="0" collapsed="false">
      <c r="A4" s="8" t="s">
        <v>125</v>
      </c>
      <c r="B4" s="8" t="s">
        <v>126</v>
      </c>
      <c r="C4" s="11" t="n">
        <v>2000</v>
      </c>
      <c r="D4" s="11" t="n">
        <v>2000</v>
      </c>
      <c r="E4" s="11" t="n">
        <v>0</v>
      </c>
      <c r="F4" s="13" t="n">
        <f aca="false">C4*Parametres!$B$10+D4*Parametres!$B$11+E4*Parametres!$B$12</f>
        <v>5000</v>
      </c>
      <c r="G4" s="13" t="n">
        <f aca="false">C4+D4</f>
        <v>4000</v>
      </c>
      <c r="H4" s="11" t="n">
        <v>5</v>
      </c>
      <c r="I4" s="11" t="n">
        <v>5000</v>
      </c>
      <c r="J4" s="11" t="n">
        <v>5000</v>
      </c>
      <c r="K4" s="11" t="n">
        <v>10</v>
      </c>
      <c r="L4" s="11" t="n">
        <v>300</v>
      </c>
      <c r="M4" s="13" t="n">
        <f aca="false">ROUND(G4/200,0)</f>
        <v>20</v>
      </c>
      <c r="N4" s="13" t="n">
        <f aca="false">(C4*Parametres!$B$10+D4*Parametres!$B$11)*Parametres!$B$7</f>
        <v>1500</v>
      </c>
    </row>
    <row r="5" customFormat="false" ht="15" hidden="false" customHeight="false" outlineLevel="0" collapsed="false">
      <c r="A5" s="8" t="s">
        <v>127</v>
      </c>
      <c r="B5" s="8" t="s">
        <v>128</v>
      </c>
      <c r="C5" s="11" t="n">
        <v>6000</v>
      </c>
      <c r="D5" s="11" t="n">
        <v>6000</v>
      </c>
      <c r="E5" s="11" t="n">
        <v>0</v>
      </c>
      <c r="F5" s="13" t="n">
        <f aca="false">C5*Parametres!$B$10+D5*Parametres!$B$11+E5*Parametres!$B$12</f>
        <v>15000</v>
      </c>
      <c r="G5" s="13" t="n">
        <f aca="false">C5+D5</f>
        <v>12000</v>
      </c>
      <c r="H5" s="11" t="n">
        <v>5</v>
      </c>
      <c r="I5" s="11" t="n">
        <v>7500</v>
      </c>
      <c r="J5" s="11" t="n">
        <v>25000</v>
      </c>
      <c r="K5" s="11" t="n">
        <v>50</v>
      </c>
      <c r="L5" s="11" t="n">
        <v>300</v>
      </c>
      <c r="M5" s="13" t="n">
        <f aca="false">ROUND(G5/200,0)</f>
        <v>60</v>
      </c>
      <c r="N5" s="13" t="n">
        <f aca="false">(C5*Parametres!$B$10+D5*Parametres!$B$11)*Parametres!$B$7</f>
        <v>4500</v>
      </c>
    </row>
    <row r="6" customFormat="false" ht="15" hidden="false" customHeight="false" outlineLevel="0" collapsed="false">
      <c r="A6" s="8" t="s">
        <v>129</v>
      </c>
      <c r="B6" s="8" t="s">
        <v>130</v>
      </c>
      <c r="C6" s="11" t="n">
        <v>3000</v>
      </c>
      <c r="D6" s="11" t="n">
        <v>1000</v>
      </c>
      <c r="E6" s="11" t="n">
        <v>0</v>
      </c>
      <c r="F6" s="13" t="n">
        <f aca="false">C6*Parametres!$B$10+D6*Parametres!$B$11+E6*Parametres!$B$12</f>
        <v>4500</v>
      </c>
      <c r="G6" s="13" t="n">
        <f aca="false">C6+D6</f>
        <v>4000</v>
      </c>
      <c r="H6" s="11" t="n">
        <v>50</v>
      </c>
      <c r="I6" s="11" t="n">
        <v>12500</v>
      </c>
      <c r="J6" s="11" t="n">
        <v>50</v>
      </c>
      <c r="K6" s="11" t="n">
        <v>20</v>
      </c>
      <c r="L6" s="11" t="n">
        <v>300</v>
      </c>
      <c r="M6" s="13" t="n">
        <f aca="false">ROUND(G6/200,0)</f>
        <v>20</v>
      </c>
      <c r="N6" s="13" t="n">
        <f aca="false">(C6*Parametres!$B$10+D6*Parametres!$B$11)*Parametres!$B$7</f>
        <v>1350</v>
      </c>
    </row>
    <row r="7" customFormat="false" ht="15" hidden="false" customHeight="false" outlineLevel="0" collapsed="false">
      <c r="A7" s="8" t="s">
        <v>131</v>
      </c>
      <c r="B7" s="8" t="s">
        <v>132</v>
      </c>
      <c r="C7" s="11" t="n">
        <v>6000</v>
      </c>
      <c r="D7" s="11" t="n">
        <v>4000</v>
      </c>
      <c r="E7" s="11" t="n">
        <v>0</v>
      </c>
      <c r="F7" s="13" t="n">
        <f aca="false">C7*Parametres!$B$10+D7*Parametres!$B$11+E7*Parametres!$B$12</f>
        <v>12000</v>
      </c>
      <c r="G7" s="13" t="n">
        <f aca="false">C7+D7</f>
        <v>10000</v>
      </c>
      <c r="H7" s="11" t="n">
        <v>150</v>
      </c>
      <c r="I7" s="11" t="n">
        <v>10000</v>
      </c>
      <c r="J7" s="11" t="n">
        <v>100</v>
      </c>
      <c r="K7" s="11" t="n">
        <v>75</v>
      </c>
      <c r="L7" s="11" t="n">
        <v>300</v>
      </c>
      <c r="M7" s="13" t="n">
        <f aca="false">ROUND(G7/200,0)</f>
        <v>50</v>
      </c>
      <c r="N7" s="13" t="n">
        <f aca="false">(C7*Parametres!$B$10+D7*Parametres!$B$11)*Parametres!$B$7</f>
        <v>3600</v>
      </c>
    </row>
    <row r="8" customFormat="false" ht="15" hidden="false" customHeight="false" outlineLevel="0" collapsed="false">
      <c r="A8" s="8" t="s">
        <v>133</v>
      </c>
      <c r="B8" s="8" t="s">
        <v>134</v>
      </c>
      <c r="C8" s="11" t="n">
        <v>20000</v>
      </c>
      <c r="D8" s="11" t="n">
        <v>7000</v>
      </c>
      <c r="E8" s="11" t="n">
        <v>2000</v>
      </c>
      <c r="F8" s="13" t="n">
        <f aca="false">C8*Parametres!$B$10+D8*Parametres!$B$11+E8*Parametres!$B$12</f>
        <v>36500</v>
      </c>
      <c r="G8" s="13" t="n">
        <f aca="false">C8+D8</f>
        <v>27000</v>
      </c>
      <c r="H8" s="11" t="n">
        <v>400</v>
      </c>
      <c r="I8" s="11" t="n">
        <v>15000</v>
      </c>
      <c r="J8" s="11" t="n">
        <v>800</v>
      </c>
      <c r="K8" s="11" t="n">
        <v>300</v>
      </c>
      <c r="L8" s="11" t="n">
        <v>300</v>
      </c>
      <c r="M8" s="13" t="n">
        <f aca="false">ROUND(G8/200,0)</f>
        <v>135</v>
      </c>
      <c r="N8" s="13" t="n">
        <f aca="false">(C8*Parametres!$B$10+D8*Parametres!$B$11)*Parametres!$B$7</f>
        <v>9150</v>
      </c>
    </row>
    <row r="9" customFormat="false" ht="15" hidden="false" customHeight="false" outlineLevel="0" collapsed="false">
      <c r="A9" s="8" t="s">
        <v>135</v>
      </c>
      <c r="B9" s="8" t="s">
        <v>136</v>
      </c>
      <c r="C9" s="11" t="n">
        <v>45000</v>
      </c>
      <c r="D9" s="11" t="n">
        <v>15000</v>
      </c>
      <c r="E9" s="11" t="n">
        <v>0</v>
      </c>
      <c r="F9" s="13" t="n">
        <f aca="false">C9*Parametres!$B$10+D9*Parametres!$B$11+E9*Parametres!$B$12</f>
        <v>67500</v>
      </c>
      <c r="G9" s="13" t="n">
        <f aca="false">C9+D9</f>
        <v>60000</v>
      </c>
      <c r="H9" s="11" t="n">
        <v>1000</v>
      </c>
      <c r="I9" s="11" t="n">
        <v>10000</v>
      </c>
      <c r="J9" s="11" t="n">
        <v>1500</v>
      </c>
      <c r="K9" s="11" t="n">
        <v>500</v>
      </c>
      <c r="L9" s="11" t="n">
        <v>300</v>
      </c>
      <c r="M9" s="13" t="n">
        <f aca="false">ROUND(G9/200,0)</f>
        <v>300</v>
      </c>
      <c r="N9" s="13" t="n">
        <f aca="false">(C9*Parametres!$B$10+D9*Parametres!$B$11)*Parametres!$B$7</f>
        <v>20250</v>
      </c>
    </row>
    <row r="10" customFormat="false" ht="15" hidden="false" customHeight="false" outlineLevel="0" collapsed="false">
      <c r="A10" s="8" t="s">
        <v>137</v>
      </c>
      <c r="B10" s="8" t="s">
        <v>138</v>
      </c>
      <c r="C10" s="11" t="n">
        <v>30000</v>
      </c>
      <c r="D10" s="11" t="n">
        <v>40000</v>
      </c>
      <c r="E10" s="11" t="n">
        <v>15000</v>
      </c>
      <c r="F10" s="13" t="n">
        <f aca="false">C10*Parametres!$B$10+D10*Parametres!$B$11+E10*Parametres!$B$12</f>
        <v>135000</v>
      </c>
      <c r="G10" s="13" t="n">
        <f aca="false">C10+D10</f>
        <v>70000</v>
      </c>
      <c r="H10" s="11" t="n">
        <v>700</v>
      </c>
      <c r="I10" s="11" t="n">
        <v>10000</v>
      </c>
      <c r="J10" s="11" t="n">
        <v>750</v>
      </c>
      <c r="K10" s="11" t="n">
        <v>250</v>
      </c>
      <c r="L10" s="11" t="n">
        <v>300</v>
      </c>
      <c r="M10" s="13" t="n">
        <f aca="false">ROUND(G10/200,0)</f>
        <v>350</v>
      </c>
      <c r="N10" s="13" t="n">
        <f aca="false">(C10*Parametres!$B$10+D10*Parametres!$B$11)*Parametres!$B$7</f>
        <v>27000</v>
      </c>
    </row>
    <row r="11" customFormat="false" ht="15" hidden="false" customHeight="false" outlineLevel="0" collapsed="false">
      <c r="A11" s="8" t="s">
        <v>139</v>
      </c>
      <c r="B11" s="8" t="s">
        <v>140</v>
      </c>
      <c r="C11" s="11" t="n">
        <v>50000</v>
      </c>
      <c r="D11" s="11" t="n">
        <v>25000</v>
      </c>
      <c r="E11" s="11" t="n">
        <v>15000</v>
      </c>
      <c r="F11" s="13" t="n">
        <f aca="false">C11*Parametres!$B$10+D11*Parametres!$B$11+E11*Parametres!$B$12</f>
        <v>132500</v>
      </c>
      <c r="G11" s="13" t="n">
        <f aca="false">C11+D11</f>
        <v>75000</v>
      </c>
      <c r="H11" s="11" t="n">
        <v>1000</v>
      </c>
      <c r="I11" s="11" t="n">
        <v>4000</v>
      </c>
      <c r="J11" s="11" t="n">
        <v>500</v>
      </c>
      <c r="K11" s="11" t="n">
        <v>700</v>
      </c>
      <c r="L11" s="11" t="n">
        <v>300</v>
      </c>
      <c r="M11" s="13" t="n">
        <f aca="false">ROUND(G11/200,0)</f>
        <v>375</v>
      </c>
      <c r="N11" s="13" t="n">
        <f aca="false">(C11*Parametres!$B$10+D11*Parametres!$B$11)*Parametres!$B$7</f>
        <v>26250</v>
      </c>
    </row>
    <row r="12" customFormat="false" ht="15" hidden="false" customHeight="false" outlineLevel="0" collapsed="false">
      <c r="A12" s="8" t="s">
        <v>141</v>
      </c>
      <c r="B12" s="8" t="s">
        <v>142</v>
      </c>
      <c r="C12" s="11" t="n">
        <v>60000</v>
      </c>
      <c r="D12" s="11" t="n">
        <v>50000</v>
      </c>
      <c r="E12" s="11" t="n">
        <v>15000</v>
      </c>
      <c r="F12" s="13" t="n">
        <f aca="false">C12*Parametres!$B$10+D12*Parametres!$B$11+E12*Parametres!$B$12</f>
        <v>180000</v>
      </c>
      <c r="G12" s="13" t="n">
        <f aca="false">C12+D12</f>
        <v>110000</v>
      </c>
      <c r="H12" s="11" t="n">
        <v>2000</v>
      </c>
      <c r="I12" s="11" t="n">
        <v>5000</v>
      </c>
      <c r="J12" s="11" t="n">
        <v>2000</v>
      </c>
      <c r="K12" s="11" t="n">
        <v>1000</v>
      </c>
      <c r="L12" s="11" t="n">
        <v>300</v>
      </c>
      <c r="M12" s="13" t="n">
        <f aca="false">ROUND(G12/200,0)</f>
        <v>550</v>
      </c>
      <c r="N12" s="13" t="n">
        <f aca="false">(C12*Parametres!$B$10+D12*Parametres!$B$11)*Parametres!$B$7</f>
        <v>40500</v>
      </c>
    </row>
    <row r="13" customFormat="false" ht="15" hidden="false" customHeight="false" outlineLevel="0" collapsed="false">
      <c r="A13" s="8" t="s">
        <v>143</v>
      </c>
      <c r="B13" s="8" t="s">
        <v>144</v>
      </c>
      <c r="C13" s="11" t="n">
        <v>5000000</v>
      </c>
      <c r="D13" s="11" t="n">
        <v>4000000</v>
      </c>
      <c r="E13" s="11" t="n">
        <v>1000000</v>
      </c>
      <c r="F13" s="13" t="n">
        <f aca="false">C13*Parametres!$B$10+D13*Parametres!$B$11+E13*Parametres!$B$12</f>
        <v>14000000</v>
      </c>
      <c r="G13" s="13" t="n">
        <f aca="false">C13+D13</f>
        <v>9000000</v>
      </c>
      <c r="H13" s="11" t="n">
        <v>200000</v>
      </c>
      <c r="I13" s="11" t="n">
        <v>100</v>
      </c>
      <c r="J13" s="11" t="n">
        <v>1000000</v>
      </c>
      <c r="K13" s="11" t="n">
        <v>1</v>
      </c>
      <c r="L13" s="11" t="n">
        <v>300</v>
      </c>
      <c r="M13" s="13" t="n">
        <f aca="false">ROUND(G13/200,0)</f>
        <v>45000</v>
      </c>
      <c r="N13" s="13" t="n">
        <f aca="false">(C13*Parametres!$B$10+D13*Parametres!$B$11)*Parametres!$B$7</f>
        <v>3300000</v>
      </c>
    </row>
    <row r="14" customFormat="false" ht="15" hidden="false" customHeight="false" outlineLevel="0" collapsed="false">
      <c r="A14" s="8" t="s">
        <v>145</v>
      </c>
      <c r="B14" s="8" t="s">
        <v>146</v>
      </c>
      <c r="C14" s="11" t="n">
        <v>10000</v>
      </c>
      <c r="D14" s="11" t="n">
        <v>6000</v>
      </c>
      <c r="E14" s="11" t="n">
        <v>2000</v>
      </c>
      <c r="F14" s="13" t="n">
        <f aca="false">C14*Parametres!$B$10+D14*Parametres!$B$11+E14*Parametres!$B$12</f>
        <v>25000</v>
      </c>
      <c r="G14" s="13" t="n">
        <f aca="false">C14+D14</f>
        <v>16000</v>
      </c>
      <c r="H14" s="11" t="n">
        <v>1</v>
      </c>
      <c r="I14" s="11" t="n">
        <v>2000</v>
      </c>
      <c r="J14" s="11" t="n">
        <v>20000</v>
      </c>
      <c r="K14" s="11" t="n">
        <v>300</v>
      </c>
      <c r="L14" s="11" t="n">
        <v>300</v>
      </c>
      <c r="M14" s="13" t="n">
        <f aca="false">ROUND(G14/200,0)</f>
        <v>80</v>
      </c>
      <c r="N14" s="13" t="n">
        <f aca="false">(C14*Parametres!$B$10+D14*Parametres!$B$11)*Parametres!$B$7</f>
        <v>5700</v>
      </c>
    </row>
    <row r="15" customFormat="false" ht="15" hidden="false" customHeight="false" outlineLevel="0" collapsed="false">
      <c r="A15" s="8" t="s">
        <v>147</v>
      </c>
      <c r="B15" s="8" t="s">
        <v>148</v>
      </c>
      <c r="C15" s="11" t="n">
        <v>0</v>
      </c>
      <c r="D15" s="11" t="n">
        <v>1000</v>
      </c>
      <c r="E15" s="11" t="n">
        <v>0</v>
      </c>
      <c r="F15" s="13" t="n">
        <f aca="false">C15*Parametres!$B$10+D15*Parametres!$B$11+E15*Parametres!$B$12</f>
        <v>1500</v>
      </c>
      <c r="G15" s="13" t="n">
        <f aca="false">C15+D15</f>
        <v>1000</v>
      </c>
      <c r="H15" s="11" t="n">
        <v>0</v>
      </c>
      <c r="I15" s="11" t="n">
        <v>100000000</v>
      </c>
      <c r="J15" s="11"/>
      <c r="K15" s="11" t="n">
        <v>1</v>
      </c>
      <c r="L15" s="11" t="n">
        <v>300</v>
      </c>
      <c r="M15" s="13" t="n">
        <f aca="false">ROUND(G15/200,0)</f>
        <v>5</v>
      </c>
      <c r="N15" s="13" t="n">
        <f aca="false">(C15*Parametres!$B$10+D15*Parametres!$B$11)*Parametres!$B$7</f>
        <v>450</v>
      </c>
    </row>
    <row r="16" customFormat="false" ht="15" hidden="false" customHeight="false" outlineLevel="0" collapsed="false">
      <c r="A16" s="8" t="s">
        <v>149</v>
      </c>
      <c r="B16" s="8" t="s">
        <v>150</v>
      </c>
      <c r="C16" s="11" t="n">
        <v>10000</v>
      </c>
      <c r="D16" s="11" t="n">
        <v>20000</v>
      </c>
      <c r="E16" s="11" t="n">
        <v>10000</v>
      </c>
      <c r="F16" s="13" t="n">
        <f aca="false">C16*Parametres!$B$10+D16*Parametres!$B$11+E16*Parametres!$B$12</f>
        <v>70000</v>
      </c>
      <c r="G16" s="13" t="n">
        <f aca="false">C16+D16</f>
        <v>30000</v>
      </c>
      <c r="H16" s="11" t="n">
        <v>50</v>
      </c>
      <c r="I16" s="11" t="n">
        <v>2500</v>
      </c>
      <c r="J16" s="11" t="n">
        <v>7500</v>
      </c>
      <c r="K16" s="11" t="n">
        <v>1000</v>
      </c>
      <c r="L16" s="11" t="n">
        <v>300</v>
      </c>
      <c r="M16" s="13" t="n">
        <f aca="false">ROUND(G16/200,0)</f>
        <v>150</v>
      </c>
      <c r="N16" s="13" t="n">
        <f aca="false">(C16*Parametres!$B$10+D16*Parametres!$B$11)*Parametres!$B$7</f>
        <v>12000</v>
      </c>
    </row>
    <row r="17" customFormat="false" ht="15" hidden="false" customHeight="false" outlineLevel="0" collapsed="false">
      <c r="A17" s="8" t="s">
        <v>151</v>
      </c>
      <c r="B17" s="8" t="s">
        <v>152</v>
      </c>
      <c r="C17" s="11" t="n">
        <v>8000</v>
      </c>
      <c r="D17" s="11" t="n">
        <v>15000</v>
      </c>
      <c r="E17" s="11" t="n">
        <v>8000</v>
      </c>
      <c r="F17" s="13" t="n">
        <f aca="false">C17*Parametres!$B$10+D17*Parametres!$B$11+E17*Parametres!$B$12</f>
        <v>54500</v>
      </c>
      <c r="G17" s="13" t="n">
        <f aca="false">C17+D17</f>
        <v>23000</v>
      </c>
      <c r="H17" s="11" t="n">
        <v>200</v>
      </c>
      <c r="I17" s="11" t="n">
        <v>12000</v>
      </c>
      <c r="J17" s="11" t="n">
        <v>10000</v>
      </c>
      <c r="K17" s="11" t="n">
        <v>300</v>
      </c>
      <c r="L17" s="11" t="n">
        <v>300</v>
      </c>
      <c r="M17" s="13" t="n">
        <f aca="false">ROUND(G17/200,0)</f>
        <v>115</v>
      </c>
      <c r="N17" s="13" t="n">
        <f aca="false">(C17*Parametres!$B$10+D17*Parametres!$B$11)*Parametres!$B$7</f>
        <v>9150</v>
      </c>
    </row>
    <row r="19" customFormat="false" ht="15" hidden="false" customHeight="false" outlineLevel="0" collapsed="false">
      <c r="A19" s="3" t="s">
        <v>153</v>
      </c>
    </row>
    <row r="21" customFormat="false" ht="15" hidden="false" customHeight="false" outlineLevel="0" collapsed="false">
      <c r="A21" s="4" t="s">
        <v>154</v>
      </c>
    </row>
    <row r="22" customFormat="false" ht="15" hidden="false" customHeight="false" outlineLevel="0" collapsed="false">
      <c r="A22" s="7" t="s">
        <v>155</v>
      </c>
      <c r="B22" s="7" t="s">
        <v>156</v>
      </c>
    </row>
    <row r="23" customFormat="false" ht="15" hidden="false" customHeight="false" outlineLevel="0" collapsed="false">
      <c r="A23" s="8" t="s">
        <v>157</v>
      </c>
      <c r="B23" s="14" t="n">
        <v>6</v>
      </c>
    </row>
    <row r="24" customFormat="false" ht="15" hidden="false" customHeight="false" outlineLevel="0" collapsed="false">
      <c r="A24" s="8" t="s">
        <v>158</v>
      </c>
      <c r="B24" s="14" t="n">
        <v>10</v>
      </c>
    </row>
    <row r="25" customFormat="false" ht="15" hidden="false" customHeight="false" outlineLevel="0" collapsed="false">
      <c r="A25" s="8" t="s">
        <v>159</v>
      </c>
      <c r="B25" s="14" t="n">
        <v>3</v>
      </c>
    </row>
    <row r="26" customFormat="false" ht="15" hidden="false" customHeight="false" outlineLevel="0" collapsed="false">
      <c r="A26" s="8" t="s">
        <v>160</v>
      </c>
      <c r="B26" s="14" t="n">
        <v>4</v>
      </c>
    </row>
    <row r="27" customFormat="false" ht="15" hidden="false" customHeight="false" outlineLevel="0" collapsed="false">
      <c r="A27" s="8" t="s">
        <v>161</v>
      </c>
      <c r="B27" s="14" t="n">
        <v>4</v>
      </c>
    </row>
    <row r="28" customFormat="false" ht="15" hidden="false" customHeight="false" outlineLevel="0" collapsed="false">
      <c r="A28" s="8" t="s">
        <v>162</v>
      </c>
      <c r="B28" s="14" t="n">
        <v>7</v>
      </c>
    </row>
    <row r="29" customFormat="false" ht="15" hidden="false" customHeight="false" outlineLevel="0" collapsed="false">
      <c r="A29" s="8" t="s">
        <v>163</v>
      </c>
      <c r="B29" s="14" t="n">
        <v>20</v>
      </c>
    </row>
    <row r="30" customFormat="false" ht="15" hidden="false" customHeight="false" outlineLevel="0" collapsed="false">
      <c r="A30" s="8" t="s">
        <v>164</v>
      </c>
      <c r="B30" s="14" t="n">
        <v>20</v>
      </c>
    </row>
    <row r="31" customFormat="false" ht="15" hidden="false" customHeight="false" outlineLevel="0" collapsed="false">
      <c r="A31" s="8" t="s">
        <v>165</v>
      </c>
      <c r="B31" s="14" t="n">
        <v>10</v>
      </c>
    </row>
    <row r="32" customFormat="false" ht="15" hidden="false" customHeight="false" outlineLevel="0" collapsed="false">
      <c r="A32" s="8" t="s">
        <v>166</v>
      </c>
      <c r="B32" s="14" t="n">
        <v>10</v>
      </c>
    </row>
    <row r="33" customFormat="false" ht="15" hidden="false" customHeight="false" outlineLevel="0" collapsed="false">
      <c r="A33" s="8" t="s">
        <v>167</v>
      </c>
      <c r="B33" s="14" t="n">
        <v>2</v>
      </c>
    </row>
    <row r="34" customFormat="false" ht="15" hidden="false" customHeight="false" outlineLevel="0" collapsed="false">
      <c r="A34" s="8" t="s">
        <v>168</v>
      </c>
      <c r="B34" s="14" t="n">
        <v>5</v>
      </c>
    </row>
    <row r="35" customFormat="false" ht="15" hidden="false" customHeight="false" outlineLevel="0" collapsed="false">
      <c r="A35" s="8" t="s">
        <v>169</v>
      </c>
      <c r="B35" s="14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9" min="3" style="0" width="12"/>
  </cols>
  <sheetData>
    <row r="1" customFormat="false" ht="17.35" hidden="false" customHeight="false" outlineLevel="0" collapsed="false">
      <c r="A1" s="1" t="s">
        <v>170</v>
      </c>
    </row>
    <row r="3" customFormat="false" ht="15" hidden="false" customHeight="false" outlineLevel="0" collapsed="false">
      <c r="A3" s="7" t="s">
        <v>171</v>
      </c>
      <c r="B3" s="7" t="s">
        <v>112</v>
      </c>
      <c r="C3" s="7" t="s">
        <v>113</v>
      </c>
      <c r="D3" s="7" t="s">
        <v>114</v>
      </c>
      <c r="E3" s="7" t="s">
        <v>115</v>
      </c>
      <c r="F3" s="7" t="s">
        <v>116</v>
      </c>
      <c r="G3" s="7" t="s">
        <v>117</v>
      </c>
      <c r="H3" s="7" t="s">
        <v>118</v>
      </c>
      <c r="I3" s="7" t="s">
        <v>119</v>
      </c>
    </row>
    <row r="4" customFormat="false" ht="15" hidden="false" customHeight="false" outlineLevel="0" collapsed="false">
      <c r="A4" s="8" t="s">
        <v>172</v>
      </c>
      <c r="B4" s="8" t="s">
        <v>173</v>
      </c>
      <c r="C4" s="11" t="n">
        <v>2000</v>
      </c>
      <c r="D4" s="11" t="n">
        <v>0</v>
      </c>
      <c r="E4" s="11" t="n">
        <v>0</v>
      </c>
      <c r="F4" s="13" t="n">
        <f aca="false">C4*Parametres!$B$10+D4*Parametres!$B$11+E4*Parametres!$B$12</f>
        <v>2000</v>
      </c>
      <c r="G4" s="13" t="n">
        <f aca="false">C4+D4</f>
        <v>2000</v>
      </c>
      <c r="H4" s="11" t="n">
        <v>20</v>
      </c>
      <c r="I4" s="11" t="n">
        <v>80</v>
      </c>
    </row>
    <row r="5" customFormat="false" ht="15" hidden="false" customHeight="false" outlineLevel="0" collapsed="false">
      <c r="A5" s="8" t="s">
        <v>174</v>
      </c>
      <c r="B5" s="8" t="s">
        <v>175</v>
      </c>
      <c r="C5" s="11" t="n">
        <v>1500</v>
      </c>
      <c r="D5" s="11" t="n">
        <v>500</v>
      </c>
      <c r="E5" s="11" t="n">
        <v>0</v>
      </c>
      <c r="F5" s="13" t="n">
        <f aca="false">C5*Parametres!$B$10+D5*Parametres!$B$11+E5*Parametres!$B$12</f>
        <v>2250</v>
      </c>
      <c r="G5" s="13" t="n">
        <f aca="false">C5+D5</f>
        <v>2000</v>
      </c>
      <c r="H5" s="11" t="n">
        <v>25</v>
      </c>
      <c r="I5" s="11" t="n">
        <v>100</v>
      </c>
    </row>
    <row r="6" customFormat="false" ht="15" hidden="false" customHeight="false" outlineLevel="0" collapsed="false">
      <c r="A6" s="8" t="s">
        <v>176</v>
      </c>
      <c r="B6" s="8" t="s">
        <v>177</v>
      </c>
      <c r="C6" s="11" t="n">
        <v>6000</v>
      </c>
      <c r="D6" s="11" t="n">
        <v>2000</v>
      </c>
      <c r="E6" s="11" t="n">
        <v>0</v>
      </c>
      <c r="F6" s="13" t="n">
        <f aca="false">C6*Parametres!$B$10+D6*Parametres!$B$11+E6*Parametres!$B$12</f>
        <v>9000</v>
      </c>
      <c r="G6" s="13" t="n">
        <f aca="false">C6+D6</f>
        <v>8000</v>
      </c>
      <c r="H6" s="11" t="n">
        <v>100</v>
      </c>
      <c r="I6" s="11" t="n">
        <v>250</v>
      </c>
    </row>
    <row r="7" customFormat="false" ht="15" hidden="false" customHeight="false" outlineLevel="0" collapsed="false">
      <c r="A7" s="8" t="s">
        <v>178</v>
      </c>
      <c r="B7" s="8" t="s">
        <v>179</v>
      </c>
      <c r="C7" s="11" t="n">
        <v>5000</v>
      </c>
      <c r="D7" s="11" t="n">
        <v>3000</v>
      </c>
      <c r="E7" s="11" t="n">
        <v>0</v>
      </c>
      <c r="F7" s="13" t="n">
        <f aca="false">C7*Parametres!$B$10+D7*Parametres!$B$11+E7*Parametres!$B$12</f>
        <v>9500</v>
      </c>
      <c r="G7" s="13" t="n">
        <f aca="false">C7+D7</f>
        <v>8000</v>
      </c>
      <c r="H7" s="11" t="n">
        <v>500</v>
      </c>
      <c r="I7" s="11" t="n">
        <v>150</v>
      </c>
    </row>
    <row r="8" customFormat="false" ht="15" hidden="false" customHeight="false" outlineLevel="0" collapsed="false">
      <c r="A8" s="8" t="s">
        <v>180</v>
      </c>
      <c r="B8" s="8" t="s">
        <v>181</v>
      </c>
      <c r="C8" s="11" t="n">
        <v>20000</v>
      </c>
      <c r="D8" s="11" t="n">
        <v>15000</v>
      </c>
      <c r="E8" s="11" t="n">
        <v>2000</v>
      </c>
      <c r="F8" s="13" t="n">
        <f aca="false">C8*Parametres!$B$10+D8*Parametres!$B$11+E8*Parametres!$B$12</f>
        <v>48500</v>
      </c>
      <c r="G8" s="13" t="n">
        <f aca="false">C8+D8</f>
        <v>35000</v>
      </c>
      <c r="H8" s="11" t="n">
        <v>200</v>
      </c>
      <c r="I8" s="11" t="n">
        <v>1100</v>
      </c>
    </row>
    <row r="9" customFormat="false" ht="15" hidden="false" customHeight="false" outlineLevel="0" collapsed="false">
      <c r="A9" s="8" t="s">
        <v>182</v>
      </c>
      <c r="B9" s="8" t="s">
        <v>183</v>
      </c>
      <c r="C9" s="11" t="n">
        <v>50000</v>
      </c>
      <c r="D9" s="11" t="n">
        <v>50000</v>
      </c>
      <c r="E9" s="11" t="n">
        <v>30000</v>
      </c>
      <c r="F9" s="13" t="n">
        <f aca="false">C9*Parametres!$B$10+D9*Parametres!$B$11+E9*Parametres!$B$12</f>
        <v>215000</v>
      </c>
      <c r="G9" s="13" t="n">
        <f aca="false">C9+D9</f>
        <v>100000</v>
      </c>
      <c r="H9" s="11" t="n">
        <v>300</v>
      </c>
      <c r="I9" s="11" t="n">
        <v>3000</v>
      </c>
    </row>
    <row r="10" customFormat="false" ht="15" hidden="false" customHeight="false" outlineLevel="0" collapsed="false">
      <c r="A10" s="8" t="s">
        <v>184</v>
      </c>
      <c r="B10" s="8" t="s">
        <v>185</v>
      </c>
      <c r="C10" s="11" t="n">
        <v>10000</v>
      </c>
      <c r="D10" s="11" t="n">
        <v>10000</v>
      </c>
      <c r="E10" s="11" t="n">
        <v>0</v>
      </c>
      <c r="F10" s="13" t="n">
        <f aca="false">C10*Parametres!$B$10+D10*Parametres!$B$11+E10*Parametres!$B$12</f>
        <v>25000</v>
      </c>
      <c r="G10" s="13" t="n">
        <f aca="false">C10+D10</f>
        <v>20000</v>
      </c>
      <c r="H10" s="11" t="n">
        <v>2000</v>
      </c>
      <c r="I10" s="11" t="n">
        <v>1</v>
      </c>
    </row>
    <row r="11" customFormat="false" ht="15" hidden="false" customHeight="false" outlineLevel="0" collapsed="false">
      <c r="A11" s="8" t="s">
        <v>186</v>
      </c>
      <c r="B11" s="8" t="s">
        <v>187</v>
      </c>
      <c r="C11" s="11" t="n">
        <v>50000</v>
      </c>
      <c r="D11" s="11" t="n">
        <v>50000</v>
      </c>
      <c r="E11" s="11" t="n">
        <v>0</v>
      </c>
      <c r="F11" s="13" t="n">
        <f aca="false">C11*Parametres!$B$10+D11*Parametres!$B$11+E11*Parametres!$B$12</f>
        <v>125000</v>
      </c>
      <c r="G11" s="13" t="n">
        <f aca="false">C11+D11</f>
        <v>100000</v>
      </c>
      <c r="H11" s="11" t="n">
        <v>10000</v>
      </c>
      <c r="I11" s="11" t="n">
        <v>1</v>
      </c>
    </row>
    <row r="12" customFormat="false" ht="15" hidden="false" customHeight="false" outlineLevel="0" collapsed="false">
      <c r="A12" s="8" t="s">
        <v>188</v>
      </c>
      <c r="B12" s="8" t="s">
        <v>189</v>
      </c>
      <c r="C12" s="11" t="n">
        <v>8000</v>
      </c>
      <c r="D12" s="11" t="n">
        <v>0</v>
      </c>
      <c r="E12" s="11" t="n">
        <v>2000</v>
      </c>
      <c r="F12" s="13" t="n">
        <f aca="false">C12*Parametres!$B$10+D12*Parametres!$B$11+E12*Parametres!$B$12</f>
        <v>14000</v>
      </c>
      <c r="G12" s="13" t="n">
        <f aca="false">C12+D12</f>
        <v>8000</v>
      </c>
      <c r="H12" s="11" t="n">
        <v>1</v>
      </c>
      <c r="I12" s="11" t="n">
        <v>1</v>
      </c>
    </row>
    <row r="13" customFormat="false" ht="15" hidden="false" customHeight="false" outlineLevel="0" collapsed="false">
      <c r="A13" s="8" t="s">
        <v>190</v>
      </c>
      <c r="B13" s="8" t="s">
        <v>191</v>
      </c>
      <c r="C13" s="11" t="n">
        <v>12500</v>
      </c>
      <c r="D13" s="11" t="n">
        <v>2500</v>
      </c>
      <c r="E13" s="11" t="n">
        <v>10000</v>
      </c>
      <c r="F13" s="13" t="n">
        <f aca="false">C13*Parametres!$B$10+D13*Parametres!$B$11+E13*Parametres!$B$12</f>
        <v>46250</v>
      </c>
      <c r="G13" s="13" t="n">
        <f aca="false">C13+D13</f>
        <v>15000</v>
      </c>
      <c r="H13" s="11" t="n">
        <v>1</v>
      </c>
      <c r="I13" s="11" t="n">
        <v>12000</v>
      </c>
    </row>
    <row r="15" customFormat="false" ht="15" hidden="false" customHeight="false" outlineLevel="0" collapsed="false">
      <c r="A15" s="3" t="s">
        <v>192</v>
      </c>
    </row>
    <row r="16" customFormat="false" ht="15" hidden="false" customHeight="false" outlineLevel="0" collapsed="false">
      <c r="A16" s="3" t="s">
        <v>193</v>
      </c>
    </row>
    <row r="17" customFormat="false" ht="15" hidden="false" customHeight="false" outlineLevel="0" collapsed="false">
      <c r="A17" s="3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195</v>
      </c>
    </row>
    <row r="3" customFormat="false" ht="15" hidden="false" customHeight="false" outlineLevel="0" collapsed="false">
      <c r="A3" s="4" t="s">
        <v>196</v>
      </c>
    </row>
    <row r="4" customFormat="false" ht="15" hidden="false" customHeight="false" outlineLevel="0" collapsed="false">
      <c r="A4" s="2" t="s">
        <v>197</v>
      </c>
      <c r="B4" s="15" t="n">
        <v>5</v>
      </c>
    </row>
    <row r="5" customFormat="false" ht="15" hidden="false" customHeight="false" outlineLevel="0" collapsed="false">
      <c r="A5" s="2" t="s">
        <v>198</v>
      </c>
      <c r="B5" s="15" t="n">
        <v>0</v>
      </c>
    </row>
    <row r="6" customFormat="false" ht="15" hidden="false" customHeight="false" outlineLevel="0" collapsed="false">
      <c r="A6" s="2" t="s">
        <v>199</v>
      </c>
      <c r="B6" s="15" t="n">
        <v>10000</v>
      </c>
    </row>
    <row r="7" customFormat="false" ht="15" hidden="false" customHeight="false" outlineLevel="0" collapsed="false">
      <c r="A7" s="2" t="s">
        <v>200</v>
      </c>
      <c r="B7" s="15" t="n">
        <v>100</v>
      </c>
    </row>
    <row r="8" customFormat="false" ht="15" hidden="false" customHeight="false" outlineLevel="0" collapsed="false">
      <c r="A8" s="2" t="s">
        <v>201</v>
      </c>
      <c r="B8" s="15" t="n">
        <v>50</v>
      </c>
    </row>
    <row r="9" customFormat="false" ht="15" hidden="false" customHeight="false" outlineLevel="0" collapsed="false">
      <c r="A9" s="2" t="s">
        <v>202</v>
      </c>
      <c r="B9" s="15" t="n">
        <v>300</v>
      </c>
    </row>
    <row r="11" customFormat="false" ht="15" hidden="false" customHeight="false" outlineLevel="0" collapsed="false">
      <c r="A11" s="2" t="s">
        <v>203</v>
      </c>
      <c r="B11" s="16" t="n">
        <f aca="false">IF(B5&gt;0,2700+95*B5,1000+5*B4)</f>
        <v>1025</v>
      </c>
    </row>
    <row r="12" customFormat="false" ht="15" hidden="false" customHeight="false" outlineLevel="0" collapsed="false">
      <c r="A12" s="2" t="s">
        <v>204</v>
      </c>
      <c r="B12" s="17" t="n">
        <f aca="false">(10+35000/B7*SQRT(10*B11/B6))/Parametres!$B$5/60</f>
        <v>3.036233273317</v>
      </c>
    </row>
    <row r="13" customFormat="false" ht="15" hidden="false" customHeight="false" outlineLevel="0" collapsed="false">
      <c r="A13" s="2" t="s">
        <v>205</v>
      </c>
      <c r="B13" s="16" t="n">
        <f aca="false">2*ROUND(B8*B9*B11/35000*POWER(B7/100+1,2),0)</f>
        <v>3514</v>
      </c>
    </row>
    <row r="16" customFormat="false" ht="15" hidden="false" customHeight="false" outlineLevel="0" collapsed="false">
      <c r="A16" s="4" t="s">
        <v>206</v>
      </c>
    </row>
    <row r="17" customFormat="false" ht="15" hidden="false" customHeight="false" outlineLevel="0" collapsed="false">
      <c r="A17" s="2" t="s">
        <v>207</v>
      </c>
      <c r="B17" s="15" t="n">
        <v>400000</v>
      </c>
    </row>
    <row r="18" customFormat="false" ht="15" hidden="false" customHeight="false" outlineLevel="0" collapsed="false">
      <c r="A18" s="2" t="s">
        <v>208</v>
      </c>
      <c r="B18" s="15" t="n">
        <v>200000</v>
      </c>
    </row>
    <row r="19" customFormat="false" ht="15" hidden="false" customHeight="false" outlineLevel="0" collapsed="false">
      <c r="A19" s="2" t="s">
        <v>209</v>
      </c>
      <c r="B19" s="15" t="n">
        <v>100000</v>
      </c>
    </row>
    <row r="20" customFormat="false" ht="15" hidden="false" customHeight="false" outlineLevel="0" collapsed="false">
      <c r="A20" s="2" t="s">
        <v>210</v>
      </c>
      <c r="B20" s="15" t="n">
        <v>1</v>
      </c>
    </row>
    <row r="22" customFormat="false" ht="15" hidden="false" customHeight="false" outlineLevel="0" collapsed="false">
      <c r="A22" s="2" t="s">
        <v>211</v>
      </c>
      <c r="B22" s="18" t="n">
        <f aca="false">IF(B20=1,Parametres!$B$9,Parametres!$B$8)</f>
        <v>0.75</v>
      </c>
    </row>
    <row r="23" customFormat="false" ht="15" hidden="false" customHeight="false" outlineLevel="0" collapsed="false">
      <c r="A23" s="2" t="s">
        <v>212</v>
      </c>
      <c r="B23" s="16" t="n">
        <f aca="false">ROUND((B17+B18+B19)*B22,0)</f>
        <v>525000</v>
      </c>
    </row>
    <row r="24" customFormat="false" ht="15" hidden="false" customHeight="false" outlineLevel="0" collapsed="false">
      <c r="A24" s="2" t="s">
        <v>213</v>
      </c>
      <c r="B24" s="16" t="n">
        <f aca="false">ROUND((B17*Parametres!$B$10+B18*Parametres!$B$11+B19*Parametres!$B$12)*B22,0)</f>
        <v>750000</v>
      </c>
    </row>
    <row r="25" customFormat="false" ht="15" hidden="false" customHeight="false" outlineLevel="0" collapsed="false">
      <c r="A25" s="2" t="s">
        <v>214</v>
      </c>
      <c r="B25" s="16" t="n">
        <f aca="false">ROUNDUP(B23/5000,0)</f>
        <v>105</v>
      </c>
    </row>
    <row r="26" customFormat="false" ht="15" hidden="false" customHeight="false" outlineLevel="0" collapsed="false">
      <c r="A26" s="2" t="s">
        <v>215</v>
      </c>
      <c r="B26" s="16" t="n">
        <f aca="false">ROUNDUP(B23/25000,0)</f>
        <v>21</v>
      </c>
    </row>
    <row r="27" customFormat="false" ht="15" hidden="false" customHeight="false" outlineLevel="0" collapsed="false">
      <c r="A27" s="2" t="s">
        <v>216</v>
      </c>
      <c r="B27" s="16" t="n">
        <f aca="false">B24-B13*Parametres!$B$12</f>
        <v>739458</v>
      </c>
    </row>
    <row r="30" customFormat="false" ht="15" hidden="false" customHeight="false" outlineLevel="0" collapsed="false">
      <c r="A30" s="4" t="s">
        <v>217</v>
      </c>
    </row>
    <row r="31" customFormat="false" ht="15" hidden="false" customHeight="false" outlineLevel="0" collapsed="false">
      <c r="A31" s="2" t="s">
        <v>218</v>
      </c>
      <c r="B31" s="15" t="n">
        <v>60000</v>
      </c>
    </row>
    <row r="32" customFormat="false" ht="15" hidden="false" customHeight="false" outlineLevel="0" collapsed="false">
      <c r="A32" s="2" t="s">
        <v>219</v>
      </c>
      <c r="B32" s="15" t="n">
        <v>15000</v>
      </c>
    </row>
    <row r="33" customFormat="false" ht="15" hidden="false" customHeight="false" outlineLevel="0" collapsed="false">
      <c r="A33" s="2" t="s">
        <v>220</v>
      </c>
      <c r="B33" s="15" t="n">
        <v>8</v>
      </c>
    </row>
    <row r="34" customFormat="false" ht="15" hidden="false" customHeight="false" outlineLevel="0" collapsed="false">
      <c r="A34" s="2" t="s">
        <v>221</v>
      </c>
      <c r="B34" s="15" t="n">
        <v>0</v>
      </c>
    </row>
    <row r="35" customFormat="false" ht="15" hidden="false" customHeight="false" outlineLevel="0" collapsed="false">
      <c r="A35" s="2" t="s">
        <v>222</v>
      </c>
      <c r="B35" s="15" t="n">
        <v>6</v>
      </c>
    </row>
    <row r="36" customFormat="false" ht="15" hidden="false" customHeight="false" outlineLevel="0" collapsed="false">
      <c r="A36" s="2" t="s">
        <v>223</v>
      </c>
      <c r="B36" s="15" t="n">
        <v>8</v>
      </c>
    </row>
    <row r="38" customFormat="false" ht="15" hidden="false" customHeight="false" outlineLevel="0" collapsed="false">
      <c r="A38" s="2" t="s">
        <v>224</v>
      </c>
      <c r="B38" s="19" t="n">
        <f aca="false">(B31+B32)/(Parametres!$B$21*(1+B33)*Parametres!$B$4*POWER(2,B34))</f>
        <v>0.833333333333333</v>
      </c>
    </row>
    <row r="39" customFormat="false" ht="15" hidden="false" customHeight="false" outlineLevel="0" collapsed="false">
      <c r="A39" s="2" t="s">
        <v>225</v>
      </c>
      <c r="B39" s="19" t="n">
        <f aca="false">(B31+B32)/(Parametres!$B$21*(1+B35)*Parametres!$B$4*POWER(2,B34))</f>
        <v>1.07142857142857</v>
      </c>
    </row>
    <row r="40" customFormat="false" ht="15" hidden="false" customHeight="false" outlineLevel="0" collapsed="false">
      <c r="A40" s="2" t="s">
        <v>226</v>
      </c>
      <c r="B40" s="19" t="n">
        <f aca="false">(B31+B32)/(Parametres!$B$22*(1+B36))/Parametres!$B$6</f>
        <v>2.08333333333333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2026-07-22T19:55:36Z</dcterms:created>
  <dc:creator>openpyxl</dc:creator>
  <dc:description/>
  <dc:language>en-US</dc:language>
  <cp:lastModifiedBy/>
  <dcterms:modified xsi:type="dcterms:W3CDTF">2026-07-22T19:55:36Z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